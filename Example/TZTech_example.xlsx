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5600" windowHeight="14480" tabRatio="600" firstSheet="0" activeTab="4" autoFilterDateGrouping="1"/>
  </bookViews>
  <sheets>
    <sheet xmlns:r="http://schemas.openxmlformats.org/officeDocument/2006/relationships" name="摘要与结论" sheetId="1" state="visible" r:id="rId1"/>
    <sheet xmlns:r="http://schemas.openxmlformats.org/officeDocument/2006/relationships" name="VC Method" sheetId="2" state="visible" r:id="rId2"/>
    <sheet xmlns:r="http://schemas.openxmlformats.org/officeDocument/2006/relationships" name="Scorecard" sheetId="3" state="visible" r:id="rId3"/>
    <sheet xmlns:r="http://schemas.openxmlformats.org/officeDocument/2006/relationships" name="Berkus" sheetId="4" state="visible" r:id="rId4"/>
    <sheet xmlns:r="http://schemas.openxmlformats.org/officeDocument/2006/relationships" name="可比估值" sheetId="5" state="visible" r:id="rId5"/>
    <sheet xmlns:r="http://schemas.openxmlformats.org/officeDocument/2006/relationships" name="DCF" sheetId="6" state="visible" r:id="rId6"/>
    <sheet xmlns:r="http://schemas.openxmlformats.org/officeDocument/2006/relationships" name="敏感性分析" sheetId="7" state="visible" r:id="rId7"/>
    <sheet xmlns:r="http://schemas.openxmlformats.org/officeDocument/2006/relationships" name="融资与股权" sheetId="8" state="visible" r:id="rId8"/>
    <sheet xmlns:r="http://schemas.openxmlformats.org/officeDocument/2006/relationships" name="假设与来源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;\(#,##0\);\-"/>
    <numFmt numFmtId="165" formatCode="0.0%"/>
    <numFmt numFmtId="166" formatCode="0.0&quot;x&quot;"/>
    <numFmt numFmtId="167" formatCode="0.0"/>
    <numFmt numFmtId="168" formatCode="0.000"/>
  </numFmts>
  <fonts count="10">
    <font>
      <name val="宋体"/>
      <family val="2"/>
      <color theme="1"/>
      <sz val="11"/>
      <scheme val="minor"/>
    </font>
    <font>
      <name val="Microsoft YaHei"/>
      <charset val="134"/>
      <family val="2"/>
      <b val="1"/>
      <color rgb="FF1F4E79"/>
      <sz val="15"/>
    </font>
    <font>
      <name val="Microsoft YaHei"/>
      <charset val="134"/>
      <family val="2"/>
      <b val="1"/>
      <color rgb="FF000000"/>
      <sz val="10"/>
    </font>
    <font>
      <name val="Microsoft YaHei"/>
      <charset val="134"/>
      <family val="2"/>
      <i val="1"/>
      <color rgb="FF808080"/>
      <sz val="8"/>
    </font>
    <font>
      <name val="Microsoft YaHei"/>
      <charset val="134"/>
      <family val="2"/>
      <b val="1"/>
      <color rgb="FFFFFFFF"/>
      <sz val="11"/>
    </font>
    <font>
      <name val="Microsoft YaHei"/>
      <charset val="134"/>
      <family val="2"/>
      <color rgb="FF000000"/>
      <sz val="10"/>
    </font>
    <font>
      <name val="Microsoft YaHei"/>
      <charset val="134"/>
      <family val="2"/>
      <color rgb="FF008000"/>
      <sz val="10"/>
    </font>
    <font>
      <name val="Microsoft YaHei"/>
      <charset val="134"/>
      <family val="2"/>
      <color rgb="FF0000FF"/>
      <sz val="10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9DC3E6"/>
      </patternFill>
    </fill>
  </fills>
  <borders count="16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3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164" fontId="6" fillId="0" borderId="4" applyAlignment="1" pivotButton="0" quotePrefix="0" xfId="0">
      <alignment horizontal="left" vertical="center" wrapText="1"/>
    </xf>
    <xf numFmtId="9" fontId="7" fillId="4" borderId="4" applyAlignment="1" pivotButton="0" quotePrefix="0" xfId="0">
      <alignment horizontal="right" vertical="center"/>
    </xf>
    <xf numFmtId="164" fontId="5" fillId="0" borderId="4" applyAlignment="1" pivotButton="0" quotePrefix="0" xfId="0">
      <alignment horizontal="left" vertical="center" wrapText="1"/>
    </xf>
    <xf numFmtId="0" fontId="2" fillId="5" borderId="4" applyAlignment="1" pivotButton="0" quotePrefix="0" xfId="0">
      <alignment horizontal="left" vertical="center" wrapText="1"/>
    </xf>
    <xf numFmtId="164" fontId="2" fillId="5" borderId="4" applyAlignment="1" pivotButton="0" quotePrefix="0" xfId="0">
      <alignment horizontal="left" vertical="center" wrapText="1"/>
    </xf>
    <xf numFmtId="9" fontId="2" fillId="5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center" vertical="center" wrapText="1"/>
    </xf>
    <xf numFmtId="164" fontId="7" fillId="4" borderId="4" applyAlignment="1" pivotButton="0" quotePrefix="0" xfId="0">
      <alignment horizontal="right" vertical="center"/>
    </xf>
    <xf numFmtId="165" fontId="5" fillId="0" borderId="4" applyAlignment="1" pivotButton="0" quotePrefix="0" xfId="0">
      <alignment horizontal="left" vertical="center" wrapText="1"/>
    </xf>
    <xf numFmtId="1" fontId="7" fillId="4" borderId="4" applyAlignment="1" pivotButton="0" quotePrefix="0" xfId="0">
      <alignment horizontal="right" vertical="center"/>
    </xf>
    <xf numFmtId="166" fontId="7" fillId="4" borderId="4" applyAlignment="1" pivotButton="0" quotePrefix="0" xfId="0">
      <alignment horizontal="right" vertical="center"/>
    </xf>
    <xf numFmtId="0" fontId="2" fillId="3" borderId="4" applyAlignment="1" pivotButton="0" quotePrefix="0" xfId="0">
      <alignment horizontal="center" vertical="center" wrapText="1"/>
    </xf>
    <xf numFmtId="166" fontId="5" fillId="0" borderId="4" applyAlignment="1" pivotButton="0" quotePrefix="0" xfId="0">
      <alignment horizontal="left" vertical="center" wrapText="1"/>
    </xf>
    <xf numFmtId="0" fontId="5" fillId="5" borderId="4" applyAlignment="1" pivotButton="0" quotePrefix="0" xfId="0">
      <alignment horizontal="left" vertical="center" wrapText="1"/>
    </xf>
    <xf numFmtId="165" fontId="2" fillId="5" borderId="4" applyAlignment="1" pivotButton="0" quotePrefix="0" xfId="0">
      <alignment horizontal="left" vertical="center" wrapText="1"/>
    </xf>
    <xf numFmtId="164" fontId="5" fillId="0" borderId="4" applyAlignment="1" pivotButton="0" quotePrefix="0" xfId="0">
      <alignment horizontal="right" vertical="center"/>
    </xf>
    <xf numFmtId="2" fontId="5" fillId="0" borderId="4" applyAlignment="1" pivotButton="0" quotePrefix="0" xfId="0">
      <alignment horizontal="left" vertical="center" wrapText="1"/>
    </xf>
    <xf numFmtId="0" fontId="2" fillId="5" borderId="4" applyAlignment="1" pivotButton="0" quotePrefix="0" xfId="0">
      <alignment horizontal="center" vertical="center" wrapText="1"/>
    </xf>
    <xf numFmtId="1" fontId="2" fillId="3" borderId="4" applyAlignment="1" pivotButton="0" quotePrefix="0" xfId="0">
      <alignment horizontal="center" vertical="center" wrapText="1"/>
    </xf>
    <xf numFmtId="165" fontId="7" fillId="4" borderId="4" applyAlignment="1" pivotButton="0" quotePrefix="0" xfId="0">
      <alignment horizontal="right" vertical="center"/>
    </xf>
    <xf numFmtId="166" fontId="2" fillId="5" borderId="4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167" fontId="5" fillId="0" borderId="4" applyAlignment="1" pivotButton="0" quotePrefix="0" xfId="0">
      <alignment horizontal="right" vertical="center"/>
    </xf>
    <xf numFmtId="168" fontId="5" fillId="0" borderId="4" applyAlignment="1" pivotButton="0" quotePrefix="0" xfId="0">
      <alignment horizontal="left" vertical="center" wrapText="1"/>
    </xf>
    <xf numFmtId="167" fontId="5" fillId="0" borderId="4" applyAlignment="1" pivotButton="0" quotePrefix="0" xfId="0">
      <alignment horizontal="left" vertical="center" wrapText="1"/>
    </xf>
    <xf numFmtId="166" fontId="2" fillId="3" borderId="4" applyAlignment="1" pivotButton="0" quotePrefix="0" xfId="0">
      <alignment horizontal="center" vertical="center" wrapText="1"/>
    </xf>
    <xf numFmtId="164" fontId="2" fillId="6" borderId="4" applyAlignment="1" pivotButton="0" quotePrefix="0" xfId="0">
      <alignment horizontal="left" vertical="center" wrapText="1"/>
    </xf>
    <xf numFmtId="165" fontId="2" fillId="3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4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5" borderId="4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3" borderId="4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164" fontId="6" fillId="0" borderId="4" applyAlignment="1" pivotButton="0" quotePrefix="0" xfId="0">
      <alignment horizontal="left" vertical="center" wrapText="1"/>
    </xf>
    <xf numFmtId="164" fontId="5" fillId="0" borderId="4" applyAlignment="1" pivotButton="0" quotePrefix="0" xfId="0">
      <alignment horizontal="left" vertical="center" wrapText="1"/>
    </xf>
    <xf numFmtId="164" fontId="2" fillId="5" borderId="4" applyAlignment="1" pivotButton="0" quotePrefix="0" xfId="0">
      <alignment horizontal="left" vertical="center" wrapText="1"/>
    </xf>
    <xf numFmtId="164" fontId="7" fillId="4" borderId="4" applyAlignment="1" pivotButton="0" quotePrefix="0" xfId="0">
      <alignment horizontal="right" vertical="center"/>
    </xf>
    <xf numFmtId="165" fontId="5" fillId="0" borderId="4" applyAlignment="1" pivotButton="0" quotePrefix="0" xfId="0">
      <alignment horizontal="left" vertical="center" wrapText="1"/>
    </xf>
    <xf numFmtId="166" fontId="7" fillId="4" borderId="4" applyAlignment="1" pivotButton="0" quotePrefix="0" xfId="0">
      <alignment horizontal="right" vertical="center"/>
    </xf>
    <xf numFmtId="166" fontId="5" fillId="0" borderId="4" applyAlignment="1" pivotButton="0" quotePrefix="0" xfId="0">
      <alignment horizontal="left" vertical="center" wrapText="1"/>
    </xf>
    <xf numFmtId="165" fontId="2" fillId="5" borderId="4" applyAlignment="1" pivotButton="0" quotePrefix="0" xfId="0">
      <alignment horizontal="left" vertical="center" wrapText="1"/>
    </xf>
    <xf numFmtId="164" fontId="5" fillId="0" borderId="4" applyAlignment="1" pivotButton="0" quotePrefix="0" xfId="0">
      <alignment horizontal="right" vertical="center"/>
    </xf>
    <xf numFmtId="165" fontId="7" fillId="4" borderId="4" applyAlignment="1" pivotButton="0" quotePrefix="0" xfId="0">
      <alignment horizontal="right" vertical="center"/>
    </xf>
    <xf numFmtId="166" fontId="2" fillId="5" borderId="4" applyAlignment="1" pivotButton="0" quotePrefix="0" xfId="0">
      <alignment horizontal="left" vertical="center" wrapText="1"/>
    </xf>
    <xf numFmtId="167" fontId="5" fillId="0" borderId="4" applyAlignment="1" pivotButton="0" quotePrefix="0" xfId="0">
      <alignment horizontal="right" vertical="center"/>
    </xf>
    <xf numFmtId="168" fontId="5" fillId="0" borderId="4" applyAlignment="1" pivotButton="0" quotePrefix="0" xfId="0">
      <alignment horizontal="left" vertical="center" wrapText="1"/>
    </xf>
    <xf numFmtId="167" fontId="5" fillId="0" borderId="4" applyAlignment="1" pivotButton="0" quotePrefix="0" xfId="0">
      <alignment horizontal="left" vertical="center" wrapText="1"/>
    </xf>
    <xf numFmtId="166" fontId="2" fillId="3" borderId="4" applyAlignment="1" pivotButton="0" quotePrefix="0" xfId="0">
      <alignment horizontal="center" vertical="center" wrapText="1"/>
    </xf>
    <xf numFmtId="164" fontId="2" fillId="6" borderId="4" applyAlignment="1" pivotButton="0" quotePrefix="0" xfId="0">
      <alignment horizontal="left" vertical="center" wrapText="1"/>
    </xf>
    <xf numFmtId="165" fontId="2" fillId="3" borderId="4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估值模型</author>
  </authors>
  <commentList>
    <comment ref="C7" authorId="0" shapeId="0">
      <text>
        <t>来源：方法加权规则（天使轮），VC Method 权重 40%。vc-methodology-reference.md §8.1</t>
      </text>
    </comment>
    <comment ref="C8" authorId="0" shapeId="0">
      <text>
        <t>来源：方法加权规则（天使轮），Scorecard 权重 30%。</t>
      </text>
    </comment>
    <comment ref="C9" authorId="0" shapeId="0">
      <text>
        <t>来源：方法加权规则（天使轮），Berkus 权重 20%。</t>
      </text>
    </comment>
    <comment ref="C10" authorId="0" shapeId="0">
      <text>
        <t>来源：方法加权规则（天使轮），Comps 权重 10%。</t>
      </text>
    </comment>
    <comment ref="D15" authorId="0" shapeId="0">
      <text>
        <t>来源：项目BP，一期投资 4,500 万元（2026年）。</t>
      </text>
    </comment>
  </commentList>
</comments>
</file>

<file path=xl/comments/comment2.xml><?xml version="1.0" encoding="utf-8"?>
<comments xmlns="http://schemas.openxmlformats.org/spreadsheetml/2006/main">
  <authors>
    <author>估值模型</author>
  </authors>
  <commentList>
    <comment ref="B5" authorId="0" shapeId="0">
      <text>
        <t>来源：项目BP，一期投资 4,500 万元。</t>
      </text>
    </comment>
    <comment ref="B6" authorId="0" shapeId="0">
      <text>
        <t>来源：BP里程碑，2031年科创板申报/IPO筹备；天使轮持有约5年。</t>
      </text>
    </comment>
    <comment ref="B7" authorId="0" shapeId="0">
      <text>
        <t>来源：BP预计营收，2031年约10亿元=100,000万元。为管理层预测非签约订单。</t>
      </text>
    </comment>
    <comment ref="B8" authorId="0" shapeId="0">
      <text>
        <t>来源：industry-benchmarks §3 天使轮基准10x；重资产半导体+1~2x，政策鼓励-0.5~1x，综合取8x。</t>
      </text>
    </comment>
    <comment ref="B9" authorId="0" shapeId="0">
      <text>
        <t>来源：industry-benchmarks §2.2 半导体/硬科技 EV/Revenue 3-10x；取中枢8x（分析师判断，未获实时可比数据）。</t>
      </text>
    </comment>
    <comment ref="B13" authorId="0" shapeId="0">
      <text>
        <t>乐观：产品大规模放量/进采购目录，营收上浮25%。分析师判断。</t>
      </text>
    </comment>
    <comment ref="C13" authorId="0" shapeId="0">
      <text>
        <t>基准：BP预测兑现。</t>
      </text>
    </comment>
    <comment ref="D13" authorId="0" shapeId="0">
      <text>
        <t>悲观：认证受阻/竞争加剧，营收下浮40%。分析师判断。</t>
      </text>
    </comment>
    <comment ref="B14" authorId="0" shapeId="0">
      <text>
        <t>乐观：流动性折价小，取可比PS的75%。</t>
      </text>
    </comment>
    <comment ref="C14" authorId="0" shapeId="0">
      <text>
        <t>基准：天使轮退出折价，取可比PS的60%。vc-methodology §1.5</t>
      </text>
    </comment>
    <comment ref="D14" authorId="0" shapeId="0">
      <text>
        <t>悲观：接近清算，取可比PS的20%（约1.6x）。分析师判断。</t>
      </text>
    </comment>
    <comment ref="B15" authorId="0" shapeId="0">
      <text>
        <t>乐观：融资顺利，稀释取下限45%。</t>
      </text>
    </comment>
    <comment ref="C15" authorId="0" shapeId="0">
      <text>
        <t>基准：Pre-A/A/B多轮稀释，取55%。vc-methodology §1.5</t>
      </text>
    </comment>
    <comment ref="D15" authorId="0" shapeId="0">
      <text>
        <t>悲观：多轮下折/补血，稀释取上限65%。</t>
      </text>
    </comment>
    <comment ref="B16" authorId="0" shapeId="0">
      <text>
        <t>分析师判断：乐观20%。</t>
      </text>
    </comment>
    <comment ref="C16" authorId="0" shapeId="0">
      <text>
        <t>分析师判断：基准55%。</t>
      </text>
    </comment>
    <comment ref="D16" authorId="0" shapeId="0">
      <text>
        <t>分析师判断：悲观25%。</t>
      </text>
    </comment>
  </commentList>
</comments>
</file>

<file path=xl/comments/comment3.xml><?xml version="1.0" encoding="utf-8"?>
<comments xmlns="http://schemas.openxmlformats.org/spreadsheetml/2006/main">
  <authors>
    <author>估值模型</author>
  </authors>
  <commentList>
    <comment ref="B5" authorId="0" shapeId="0">
      <text>
        <t>来源：industry-benchmarks §2.1 半导体/硬科技天使轮 3,000-15,000万，取中枢 9,000万。</t>
      </text>
    </comment>
    <comment ref="B8" authorId="0" shapeId="0">
      <text>
        <t>来源：vc-methodology §2.2 Scorecard 维度权重。</t>
      </text>
    </comment>
    <comment ref="C8" authorId="0" shapeId="0">
      <text>
        <t>分析师打分（100%=行业平均）：李明远教授(世界前1%材料学者,国家级领军人才)领衔;核心团队含30年半导体大厂经验,团队完整。显著优于均值。</t>
      </text>
    </comment>
    <comment ref="B9" authorId="0" shapeId="0">
      <text>
        <t>来源：vc-methodology §2.2 Scorecard 维度权重。</t>
      </text>
    </comment>
    <comment ref="C9" authorId="0" shapeId="0">
      <text>
        <t>分析师打分（100%=行业平均）：MCS/ESC/加热器/Si3N4合计数十亿美元级,国产替代迫切,TAM大且增长。优于均值。</t>
      </text>
    </comment>
    <comment ref="B10" authorId="0" shapeId="0">
      <text>
        <t>来源：vc-methodology §2.2 Scorecard 维度权重。</t>
      </text>
    </comment>
    <comment ref="C10" authorId="0" shapeId="0">
      <text>
        <t>分析师打分（100%=行业平均）：共键合原创工艺,实测键合强度≥310MPa、Si3N4热导率超日本;发明专利2项+专有技术。高壁垒。</t>
      </text>
    </comment>
    <comment ref="B11" authorId="0" shapeId="0">
      <text>
        <t>来源：vc-methodology §2.2 Scorecard 维度权重。</t>
      </text>
    </comment>
    <comment ref="C11" authorId="0" shapeId="0">
      <text>
        <t>分析师打分（100%=行业平均）：高端MCS近乎日本垄断,国内空白;技术差异化明显,但需验证可复制良率。略优。</t>
      </text>
    </comment>
    <comment ref="B12" authorId="0" shapeId="0">
      <text>
        <t>来源：vc-methodology §2.2 Scorecard 维度权重。</t>
      </text>
    </comment>
    <comment ref="C12" authorId="0" shapeId="0">
      <text>
        <t>分析师打分（100%=行业平均）：已与华芯国际、北方精创等头部沟通,尚无签约订单与量产验证。中性。</t>
      </text>
    </comment>
    <comment ref="B13" authorId="0" shapeId="0">
      <text>
        <t>来源：vc-methodology §2.2 Scorecard 维度权重。</t>
      </text>
    </comment>
    <comment ref="C13" authorId="0" shapeId="0">
      <text>
        <t>分析师打分（100%=行业平均）：卡脖子赛道政策强支持,科创板退出通道明确;但认证周期长、资本密集。略优。</t>
      </text>
    </comment>
  </commentList>
</comments>
</file>

<file path=xl/comments/comment4.xml><?xml version="1.0" encoding="utf-8"?>
<comments xmlns="http://schemas.openxmlformats.org/spreadsheetml/2006/main">
  <authors>
    <author>估值模型</author>
  </authors>
  <commentList>
    <comment ref="B6" authorId="0" shapeId="0">
      <text>
        <t>分析师赋值（vc-methodology §3.2 中国市场区间）：卡脖子材料国产替代,商业价值验证充分,接近上限。</t>
      </text>
    </comment>
    <comment ref="B7" authorId="0" shapeId="0">
      <text>
        <t>分析师赋值（vc-methodology §3.2 中国市场区间）：已制备2英寸/6英寸样品,Micro-CT无缺陷,接近上限。</t>
      </text>
    </comment>
    <comment ref="B8" authorId="0" shapeId="0">
      <text>
        <t>分析师赋值（vc-methodology §3.2 中国市场区间）：顶尖科学家+完整产业化团队,接近上限。</t>
      </text>
    </comment>
    <comment ref="B9" authorId="0" shapeId="0">
      <text>
        <t>分析师赋值（vc-methodology §3.2 中国市场区间）：与华芯国际、北方精创等头部沟通中,尚未签约。</t>
      </text>
    </comment>
    <comment ref="B10" authorId="0" shapeId="0">
      <text>
        <t>分析师赋值（vc-methodology §3.2 中国市场区间）：尚处小批量/送样验证阶段,无规模销售。</t>
      </text>
    </comment>
    <comment ref="B12" authorId="0" shapeId="0">
      <text>
        <t>来源：vc-methodology §3.3 硬件/制造 ×0.8-1.0,资本密集取0.9。</t>
      </text>
    </comment>
  </commentList>
</comments>
</file>

<file path=xl/comments/comment5.xml><?xml version="1.0" encoding="utf-8"?>
<comments xmlns="http://schemas.openxmlformats.org/spreadsheetml/2006/main">
  <authors>
    <author>估值模型</author>
  </authors>
  <commentList>
    <comment ref="C6" authorId="0" shapeId="0">
      <text>
        <t>可比上市公司 EV/Revenue。来源：半导体零部件板块行业口径，未取到最新实时财务，属分析师判断，需尽调替换。</t>
      </text>
    </comment>
    <comment ref="C7" authorId="0" shapeId="0">
      <text>
        <t>可比上市公司 EV/Revenue。来源：半导体零部件板块行业口径，未取到最新实时财务，属分析师判断，需尽调替换。</t>
      </text>
    </comment>
    <comment ref="C8" authorId="0" shapeId="0">
      <text>
        <t>可比上市公司 EV/Revenue。来源：半导体零部件板块行业口径，未取到最新实时财务，属分析师判断，需尽调替换。</t>
      </text>
    </comment>
    <comment ref="C9" authorId="0" shapeId="0">
      <text>
        <t>可比上市公司 EV/Revenue。来源：半导体零部件板块行业口径，未取到最新实时财务，属分析师判断，需尽调替换。</t>
      </text>
    </comment>
    <comment ref="C10" authorId="0" shapeId="0">
      <text>
        <t>报告口径：半导体零部件板块整体 EV/Revenue 中位约 8x（含更多同业，非上列四家的简单中位）。</t>
      </text>
    </comment>
    <comment ref="B18" authorId="0" shapeId="0">
      <text>
        <t>来源：BP，2028年营收约3,000万元。</t>
      </text>
    </comment>
    <comment ref="B19" authorId="0" shapeId="0">
      <text>
        <t>分析师判断：早期一级市场取可比区间上沿12x（华卓精科水平），反映早期高成长+技术稀缺性溢价；行业中位8x为保守参照。</t>
      </text>
    </comment>
  </commentList>
</comments>
</file>

<file path=xl/comments/comment6.xml><?xml version="1.0" encoding="utf-8"?>
<comments xmlns="http://schemas.openxmlformats.org/spreadsheetml/2006/main">
  <authors>
    <author>估值模型</author>
  </authors>
  <commentList>
    <comment ref="B4" authorId="0" shapeId="0">
      <text>
        <t>切换 1/2/3 全表联动。默认2=基准。</t>
      </text>
    </comment>
    <comment ref="B8" authorId="0" shapeId="0">
      <text>
        <t>熊市情景营收相对BP的乘数（分析师判断）。</t>
      </text>
    </comment>
    <comment ref="C8" authorId="0" shapeId="0">
      <text>
        <t>熊市情景营收相对BP的乘数（分析师判断）。</t>
      </text>
    </comment>
    <comment ref="D8" authorId="0" shapeId="0">
      <text>
        <t>熊市情景营收相对BP的乘数（分析师判断）。</t>
      </text>
    </comment>
    <comment ref="E8" authorId="0" shapeId="0">
      <text>
        <t>熊市情景营收相对BP的乘数（分析师判断）。</t>
      </text>
    </comment>
    <comment ref="F8" authorId="0" shapeId="0">
      <text>
        <t>熊市情景营收相对BP的乘数（分析师判断）。</t>
      </text>
    </comment>
    <comment ref="B9" authorId="0" shapeId="0">
      <text>
        <t>熊市情景EBIT利润率，反映研发/认证期到规模化过渡（估值假设，非BP披露）。</t>
      </text>
    </comment>
    <comment ref="C9" authorId="0" shapeId="0">
      <text>
        <t>熊市情景EBIT利润率，反映研发/认证期到规模化过渡（估值假设，非BP披露）。</t>
      </text>
    </comment>
    <comment ref="D9" authorId="0" shapeId="0">
      <text>
        <t>熊市情景EBIT利润率，反映研发/认证期到规模化过渡（估值假设，非BP披露）。</t>
      </text>
    </comment>
    <comment ref="E9" authorId="0" shapeId="0">
      <text>
        <t>熊市情景EBIT利润率，反映研发/认证期到规模化过渡（估值假设，非BP披露）。</t>
      </text>
    </comment>
    <comment ref="F9" authorId="0" shapeId="0">
      <text>
        <t>熊市情景EBIT利润率，反映研发/认证期到规模化过渡（估值假设，非BP披露）。</t>
      </text>
    </comment>
    <comment ref="B10" authorId="0" shapeId="0">
      <text>
        <t>基准情景营收相对BP的乘数（分析师判断）。</t>
      </text>
    </comment>
    <comment ref="C10" authorId="0" shapeId="0">
      <text>
        <t>基准情景营收相对BP的乘数（分析师判断）。</t>
      </text>
    </comment>
    <comment ref="D10" authorId="0" shapeId="0">
      <text>
        <t>基准情景营收相对BP的乘数（分析师判断）。</t>
      </text>
    </comment>
    <comment ref="E10" authorId="0" shapeId="0">
      <text>
        <t>基准情景营收相对BP的乘数（分析师判断）。</t>
      </text>
    </comment>
    <comment ref="F10" authorId="0" shapeId="0">
      <text>
        <t>基准情景营收相对BP的乘数（分析师判断）。</t>
      </text>
    </comment>
    <comment ref="B11" authorId="0" shapeId="0">
      <text>
        <t>基准情景EBIT利润率，反映研发/认证期到规模化过渡（估值假设，非BP披露）。</t>
      </text>
    </comment>
    <comment ref="C11" authorId="0" shapeId="0">
      <text>
        <t>基准情景EBIT利润率，反映研发/认证期到规模化过渡（估值假设，非BP披露）。</t>
      </text>
    </comment>
    <comment ref="D11" authorId="0" shapeId="0">
      <text>
        <t>基准情景EBIT利润率，反映研发/认证期到规模化过渡（估值假设，非BP披露）。</t>
      </text>
    </comment>
    <comment ref="E11" authorId="0" shapeId="0">
      <text>
        <t>基准情景EBIT利润率，反映研发/认证期到规模化过渡（估值假设，非BP披露）。</t>
      </text>
    </comment>
    <comment ref="F11" authorId="0" shapeId="0">
      <text>
        <t>基准情景EBIT利润率，反映研发/认证期到规模化过渡（估值假设，非BP披露）。</t>
      </text>
    </comment>
    <comment ref="B12" authorId="0" shapeId="0">
      <text>
        <t>牛市情景营收相对BP的乘数（分析师判断）。</t>
      </text>
    </comment>
    <comment ref="C12" authorId="0" shapeId="0">
      <text>
        <t>牛市情景营收相对BP的乘数（分析师判断）。</t>
      </text>
    </comment>
    <comment ref="D12" authorId="0" shapeId="0">
      <text>
        <t>牛市情景营收相对BP的乘数（分析师判断）。</t>
      </text>
    </comment>
    <comment ref="E12" authorId="0" shapeId="0">
      <text>
        <t>牛市情景营收相对BP的乘数（分析师判断）。</t>
      </text>
    </comment>
    <comment ref="F12" authorId="0" shapeId="0">
      <text>
        <t>牛市情景营收相对BP的乘数（分析师判断）。</t>
      </text>
    </comment>
    <comment ref="B13" authorId="0" shapeId="0">
      <text>
        <t>牛市情景EBIT利润率，反映研发/认证期到规模化过渡（估值假设，非BP披露）。</t>
      </text>
    </comment>
    <comment ref="C13" authorId="0" shapeId="0">
      <text>
        <t>牛市情景EBIT利润率，反映研发/认证期到规模化过渡（估值假设，非BP披露）。</t>
      </text>
    </comment>
    <comment ref="D13" authorId="0" shapeId="0">
      <text>
        <t>牛市情景EBIT利润率，反映研发/认证期到规模化过渡（估值假设，非BP披露）。</t>
      </text>
    </comment>
    <comment ref="E13" authorId="0" shapeId="0">
      <text>
        <t>牛市情景EBIT利润率，反映研发/认证期到规模化过渡（估值假设，非BP披露）。</t>
      </text>
    </comment>
    <comment ref="F13" authorId="0" shapeId="0">
      <text>
        <t>牛市情景EBIT利润率，反映研发/认证期到规模化过渡（估值假设，非BP披露）。</t>
      </text>
    </comment>
    <comment ref="B19" authorId="0" shapeId="0">
      <text>
        <t>来源：BP预计营收 2027~350万 / 2028~3000万 / 2029~3亿 / 2030~5亿 / 2031~10亿。管理层预测。</t>
      </text>
    </comment>
    <comment ref="C19" authorId="0" shapeId="0">
      <text>
        <t>来源：BP预计营收 2027~350万 / 2028~3000万 / 2029~3亿 / 2030~5亿 / 2031~10亿。管理层预测。</t>
      </text>
    </comment>
    <comment ref="D19" authorId="0" shapeId="0">
      <text>
        <t>来源：BP预计营收 2027~350万 / 2028~3000万 / 2029~3亿 / 2030~5亿 / 2031~10亿。管理层预测。</t>
      </text>
    </comment>
    <comment ref="E19" authorId="0" shapeId="0">
      <text>
        <t>来源：BP预计营收 2027~350万 / 2028~3000万 / 2029~3亿 / 2030~5亿 / 2031~10亿。管理层预测。</t>
      </text>
    </comment>
    <comment ref="F19" authorId="0" shapeId="0">
      <text>
        <t>来源：BP预计营收 2027~350万 / 2028~3000万 / 2029~3亿 / 2030~5亿 / 2031~10亿。管理层预测。</t>
      </text>
    </comment>
    <comment ref="B33" authorId="0" shapeId="0">
      <text>
        <t>来源：高新技术企业优惠税率15%（分析师假设，待确认资质）。</t>
      </text>
    </comment>
    <comment ref="B34" authorId="0" shapeId="0">
      <text>
        <t>分析师假设：重资产产线,D&amp;A约8%营收。</t>
      </text>
    </comment>
    <comment ref="B35" authorId="0" shapeId="0">
      <text>
        <t>分析师假设：产能建设期资本密集,CapEx约12%营收。</t>
      </text>
    </comment>
    <comment ref="B36" authorId="0" shapeId="0">
      <text>
        <t>分析师假设：应收+存货占用,营运资金约为营收增量的15%。</t>
      </text>
    </comment>
    <comment ref="B38" authorId="0" shapeId="0">
      <text>
        <t>BP未披露债务与现金,暂假设净债务为零。尽调需替换。</t>
      </text>
    </comment>
    <comment ref="B57" authorId="0" shapeId="0">
      <text>
        <t>来源：BP,一期投资4,500万元。DCF股权价值近似投后,减投资得投前口径。</t>
      </text>
    </comment>
  </commentList>
</comments>
</file>

<file path=xl/comments/comment7.xml><?xml version="1.0" encoding="utf-8"?>
<comments xmlns="http://schemas.openxmlformats.org/spreadsheetml/2006/main">
  <authors>
    <author>估值模型</author>
  </authors>
  <commentList>
    <comment ref="B6" authorId="0" shapeId="0">
      <text>
        <t>来源：BP,一期投资4,500万元。</t>
      </text>
    </comment>
    <comment ref="B13" authorId="0" shapeId="0">
      <text>
        <t>来源：BP,2026年。</t>
      </text>
    </comment>
    <comment ref="B14" authorId="0" shapeId="0">
      <text>
        <t>来源：BP融资计划,Pre-A约2028年。</t>
      </text>
    </comment>
    <comment ref="C14" authorId="0" shapeId="0">
      <text>
        <t>来源：BP融资计划,Pre-A融资额。</t>
      </text>
    </comment>
    <comment ref="D14" authorId="0" shapeId="0">
      <text>
        <t>分析师假设:Pre-A投前估值（沿硬科技成长路径,待市场校准）。</t>
      </text>
    </comment>
    <comment ref="B15" authorId="0" shapeId="0">
      <text>
        <t>来源：BP融资计划,A轮约2029年。</t>
      </text>
    </comment>
    <comment ref="C15" authorId="0" shapeId="0">
      <text>
        <t>来源：BP融资计划,A轮融资额。</t>
      </text>
    </comment>
    <comment ref="D15" authorId="0" shapeId="0">
      <text>
        <t>分析师假设:A轮投前估值（沿硬科技成长路径,待市场校准）。</t>
      </text>
    </comment>
    <comment ref="B16" authorId="0" shapeId="0">
      <text>
        <t>来源：BP融资计划,B轮约2030年。</t>
      </text>
    </comment>
    <comment ref="C16" authorId="0" shapeId="0">
      <text>
        <t>来源：BP融资计划,B轮融资额。</t>
      </text>
    </comment>
    <comment ref="D16" authorId="0" shapeId="0">
      <text>
        <t>分析师假设:B轮投前估值（沿硬科技成长路径,待市场校准）。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:G1"/>
    </sheetView>
  </sheetViews>
  <sheetFormatPr baseColWidth="10" defaultColWidth="8.83203125" defaultRowHeight="14"/>
  <cols>
    <col width="22" customWidth="1" style="39" min="1" max="1"/>
    <col width="16" customWidth="1" style="39" min="2" max="5"/>
    <col width="18" customWidth="1" style="39" min="6" max="7"/>
  </cols>
  <sheetData>
    <row r="1">
      <c r="A1" s="40" t="inlineStr">
        <is>
          <t>臻陶科技 · 泛半导体陶瓷材料及部件</t>
        </is>
      </c>
    </row>
    <row r="2">
      <c r="A2" s="42" t="inlineStr">
        <is>
          <t>一级市场估值模型（天使轮）｜多方法交叉验证</t>
        </is>
      </c>
    </row>
    <row r="3">
      <c r="A3" s="38" t="inlineStr">
        <is>
          <t>估值基准日 2026-06 ｜ 单位：人民币万元 ｜ 资料：项目BP（2026.6规划口径）</t>
        </is>
      </c>
    </row>
    <row r="4"/>
    <row r="5">
      <c r="A5" s="32" t="inlineStr">
        <is>
          <t>一、估值结论（投前 Pre-money，万元）</t>
        </is>
      </c>
      <c r="B5" s="33" t="n"/>
      <c r="C5" s="33" t="n"/>
      <c r="D5" s="33" t="n"/>
      <c r="E5" s="33" t="n"/>
      <c r="F5" s="33" t="n"/>
      <c r="G5" s="34" t="n"/>
    </row>
    <row r="6" ht="17" customHeight="1" s="39">
      <c r="A6" s="43" t="inlineStr">
        <is>
          <t>估值方法</t>
        </is>
      </c>
      <c r="B6" s="43" t="inlineStr">
        <is>
          <t>投前估值</t>
        </is>
      </c>
      <c r="C6" s="43" t="inlineStr">
        <is>
          <t>权重</t>
        </is>
      </c>
      <c r="D6" s="43" t="inlineStr">
        <is>
          <t>加权贡献</t>
        </is>
      </c>
      <c r="E6" s="43" t="inlineStr">
        <is>
          <t>说明</t>
        </is>
      </c>
      <c r="F6" s="36" t="n"/>
      <c r="G6" s="37" t="n"/>
    </row>
    <row r="7" ht="17" customHeight="1" s="39">
      <c r="A7" s="35" t="inlineStr">
        <is>
          <t>VC Method（概率加权）</t>
        </is>
      </c>
      <c r="B7" s="50">
        <f>'VC Method'!B34</f>
        <v/>
      </c>
      <c r="C7" s="4" t="n">
        <v>0.4</v>
      </c>
      <c r="D7" s="51">
        <f>B7*C7</f>
        <v/>
      </c>
      <c r="E7" s="35" t="inlineStr">
        <is>
          <t>退出营收×PS倍数(折价)，反推本轮投后</t>
        </is>
      </c>
      <c r="F7" s="36" t="n"/>
      <c r="G7" s="37" t="n"/>
    </row>
    <row r="8" ht="17" customHeight="1" s="39">
      <c r="A8" s="35" t="inlineStr">
        <is>
          <t>Scorecard（计分卡）</t>
        </is>
      </c>
      <c r="B8" s="50">
        <f>Scorecard!B18</f>
        <v/>
      </c>
      <c r="C8" s="4" t="n">
        <v>0.3</v>
      </c>
      <c r="D8" s="51">
        <f>B8*C8</f>
        <v/>
      </c>
      <c r="E8" s="35" t="inlineStr">
        <is>
          <t>行业基准×加权得分</t>
        </is>
      </c>
      <c r="F8" s="36" t="n"/>
      <c r="G8" s="37" t="n"/>
    </row>
    <row r="9" ht="17" customHeight="1" s="39">
      <c r="A9" s="35" t="inlineStr">
        <is>
          <t>Berkus（伯克斯）</t>
        </is>
      </c>
      <c r="B9" s="50">
        <f>Berkus!B14</f>
        <v/>
      </c>
      <c r="C9" s="4" t="n">
        <v>0.2</v>
      </c>
      <c r="D9" s="51">
        <f>B9*C9</f>
        <v/>
      </c>
      <c r="E9" s="35" t="inlineStr">
        <is>
          <t>五要素定性赋值（硬科技×0.9系数）</t>
        </is>
      </c>
      <c r="F9" s="36" t="n"/>
      <c r="G9" s="37" t="n"/>
    </row>
    <row r="10" ht="17" customHeight="1" s="39">
      <c r="A10" s="35" t="inlineStr">
        <is>
          <t>可比PS倍数参考</t>
        </is>
      </c>
      <c r="B10" s="50">
        <f>可比估值!B20</f>
        <v/>
      </c>
      <c r="C10" s="4" t="n">
        <v>0.1</v>
      </c>
      <c r="D10" s="51">
        <f>B10*C10</f>
        <v/>
      </c>
      <c r="E10" s="35" t="inlineStr">
        <is>
          <t>近端营收×早期PS（交叉校验）</t>
        </is>
      </c>
      <c r="F10" s="36" t="n"/>
      <c r="G10" s="37" t="n"/>
    </row>
    <row r="11" ht="17" customHeight="1" s="39">
      <c r="A11" s="41" t="inlineStr">
        <is>
          <t>加权投前估值</t>
        </is>
      </c>
      <c r="B11" s="52">
        <f>SUMPRODUCT(B7:B10,C7:C10)</f>
        <v/>
      </c>
      <c r="C11" s="8">
        <f>SUM(C7:C10)</f>
        <v/>
      </c>
      <c r="D11" s="52">
        <f>SUM(D7:D10)</f>
        <v/>
      </c>
      <c r="E11" s="41" t="inlineStr">
        <is>
          <t>各方法按权重合成</t>
        </is>
      </c>
      <c r="F11" s="36" t="n"/>
      <c r="G11" s="37" t="n"/>
    </row>
    <row r="12"/>
    <row r="13">
      <c r="A13" s="32" t="inlineStr">
        <is>
          <t>二、估值区间与本轮融资建议</t>
        </is>
      </c>
      <c r="B13" s="33" t="n"/>
      <c r="C13" s="33" t="n"/>
      <c r="D13" s="33" t="n"/>
      <c r="E13" s="33" t="n"/>
      <c r="F13" s="33" t="n"/>
      <c r="G13" s="34" t="n"/>
    </row>
    <row r="14" ht="17" customHeight="1" s="39">
      <c r="A14" s="43" t="inlineStr">
        <is>
          <t>投前估值区间（低-高）</t>
        </is>
      </c>
      <c r="B14" s="51">
        <f>MIN(B7:B10)</f>
        <v/>
      </c>
      <c r="C14" s="9" t="inlineStr">
        <is>
          <t>至</t>
        </is>
      </c>
      <c r="D14" s="51">
        <f>MAX(B7:B10)</f>
        <v/>
      </c>
      <c r="E14" s="35" t="inlineStr">
        <is>
          <t>取各方法区间</t>
        </is>
      </c>
      <c r="F14" s="36" t="n"/>
      <c r="G14" s="37" t="n"/>
    </row>
    <row r="15" ht="17" customHeight="1" s="39">
      <c r="A15" s="41" t="inlineStr">
        <is>
          <t>建议投前估值（中枢）</t>
        </is>
      </c>
      <c r="B15" s="52">
        <f>B11</f>
        <v/>
      </c>
      <c r="C15" s="35" t="inlineStr">
        <is>
          <t>本轮投资额</t>
        </is>
      </c>
      <c r="D15" s="53" t="n">
        <v>4500</v>
      </c>
      <c r="E15" s="35" t="inlineStr">
        <is>
          <t>投后=投前+投资额</t>
        </is>
      </c>
      <c r="F15" s="36" t="n"/>
      <c r="G15" s="37" t="n"/>
    </row>
    <row r="16" ht="17" customHeight="1" s="39">
      <c r="A16" s="41" t="inlineStr">
        <is>
          <t>建议投后估值（中枢）</t>
        </is>
      </c>
      <c r="B16" s="52">
        <f>B15+D15</f>
        <v/>
      </c>
      <c r="C16" s="35" t="inlineStr">
        <is>
          <t>本轮股比</t>
        </is>
      </c>
      <c r="D16" s="54">
        <f>D15/B16</f>
        <v/>
      </c>
      <c r="E16" s="35" t="inlineStr">
        <is>
          <t>投资额/投后估值</t>
        </is>
      </c>
      <c r="F16" s="36" t="n"/>
      <c r="G16" s="37" t="n"/>
    </row>
    <row r="17"/>
    <row r="18">
      <c r="A18" s="38" t="inlineStr">
        <is>
          <t>注：本模型为基于BP的分析性估值，非审计或正式评估。BP未提供审计财务、订单合同、资产负债表与股权结构，所有折现率、倍数、稀释、概率均为分析师判断，需在尽调中以管理层三表模型与第三方材料替换。不构成投资建议。</t>
        </is>
      </c>
    </row>
    <row r="19"/>
    <row r="20"/>
  </sheetData>
  <mergeCells count="15">
    <mergeCell ref="A13:G13"/>
    <mergeCell ref="E10:G10"/>
    <mergeCell ref="A18:G20"/>
    <mergeCell ref="A1:G1"/>
    <mergeCell ref="E14:G14"/>
    <mergeCell ref="E11:G11"/>
    <mergeCell ref="A3:G3"/>
    <mergeCell ref="E8:G8"/>
    <mergeCell ref="A2:G2"/>
    <mergeCell ref="E9:G9"/>
    <mergeCell ref="E15:G15"/>
    <mergeCell ref="E7:G7"/>
    <mergeCell ref="E6:G6"/>
    <mergeCell ref="A5:G5"/>
    <mergeCell ref="E16:G16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style="39" min="1" max="1"/>
    <col width="16" customWidth="1" style="39" min="2" max="6"/>
  </cols>
  <sheetData>
    <row r="1">
      <c r="A1" s="40" t="inlineStr">
        <is>
          <t>VC Method（风险资本法）· 概率加权</t>
        </is>
      </c>
    </row>
    <row r="2">
      <c r="A2" s="38" t="inlineStr">
        <is>
          <t>退出价值 = 退出营收 × PS倍数(折价)；所需股比 = 投资×MOIC / 退出价值；投后 = 投资 / 所需股比 ÷ (1-后续稀释)。单位：万元。</t>
        </is>
      </c>
    </row>
    <row r="3"/>
    <row r="4">
      <c r="A4" s="32" t="inlineStr">
        <is>
          <t>一、通用输入</t>
        </is>
      </c>
      <c r="B4" s="33" t="n"/>
      <c r="C4" s="33" t="n"/>
      <c r="D4" s="33" t="n"/>
      <c r="E4" s="33" t="n"/>
      <c r="F4" s="34" t="n"/>
    </row>
    <row r="5" ht="17" customHeight="1" s="39">
      <c r="A5" s="35" t="inlineStr">
        <is>
          <t>本轮投资额（万元）</t>
        </is>
      </c>
      <c r="B5" s="53" t="n">
        <v>4500</v>
      </c>
    </row>
    <row r="6" ht="17" customHeight="1" s="39">
      <c r="A6" s="35" t="inlineStr">
        <is>
          <t>退出年份</t>
        </is>
      </c>
      <c r="B6" s="12" t="n">
        <v>2031</v>
      </c>
    </row>
    <row r="7" ht="17" customHeight="1" s="39">
      <c r="A7" s="35" t="inlineStr">
        <is>
          <t>退出年营收-BP口径（万元）</t>
        </is>
      </c>
      <c r="B7" s="53" t="n">
        <v>100000</v>
      </c>
    </row>
    <row r="8" ht="17" customHeight="1" s="39">
      <c r="A8" s="35" t="inlineStr">
        <is>
          <t>目标MOIC（倍）</t>
        </is>
      </c>
      <c r="B8" s="55" t="n">
        <v>8</v>
      </c>
    </row>
    <row r="9" ht="17" customHeight="1" s="39">
      <c r="A9" s="35" t="inlineStr">
        <is>
          <t>可比上市公司PS倍数（EV/Rev）</t>
        </is>
      </c>
      <c r="B9" s="55" t="n">
        <v>8</v>
      </c>
    </row>
    <row r="10"/>
    <row r="11">
      <c r="A11" s="32" t="inlineStr">
        <is>
          <t>二、三情景假设（乐观/基准/悲观）</t>
        </is>
      </c>
      <c r="B11" s="33" t="n"/>
      <c r="C11" s="33" t="n"/>
      <c r="D11" s="33" t="n"/>
      <c r="E11" s="33" t="n"/>
      <c r="F11" s="34" t="n"/>
    </row>
    <row r="12" ht="17" customHeight="1" s="39">
      <c r="A12" s="43" t="inlineStr">
        <is>
          <t>参数</t>
        </is>
      </c>
      <c r="B12" s="14" t="inlineStr">
        <is>
          <t>乐观</t>
        </is>
      </c>
      <c r="C12" s="14" t="inlineStr">
        <is>
          <t>基准</t>
        </is>
      </c>
      <c r="D12" s="14" t="inlineStr">
        <is>
          <t>悲观</t>
        </is>
      </c>
      <c r="E12" s="14" t="inlineStr">
        <is>
          <t>加权</t>
        </is>
      </c>
      <c r="F12" s="14" t="inlineStr">
        <is>
          <t>说明</t>
        </is>
      </c>
    </row>
    <row r="13" ht="17" customHeight="1" s="39">
      <c r="A13" s="35" t="inlineStr">
        <is>
          <t>退出营收乘数（×BP）</t>
        </is>
      </c>
      <c r="B13" s="55" t="n">
        <v>1.25</v>
      </c>
      <c r="C13" s="55" t="n">
        <v>1</v>
      </c>
      <c r="D13" s="55" t="n">
        <v>0.6</v>
      </c>
      <c r="E13" s="35" t="n"/>
      <c r="F13" s="35" t="inlineStr">
        <is>
          <t>退出营收=BP×乘数</t>
        </is>
      </c>
    </row>
    <row r="14" ht="34" customHeight="1" s="39">
      <c r="A14" s="35" t="inlineStr">
        <is>
          <t>退出PS折价系数（×可比PS）</t>
        </is>
      </c>
      <c r="B14" s="4" t="n">
        <v>0.75</v>
      </c>
      <c r="C14" s="4" t="n">
        <v>0.6</v>
      </c>
      <c r="D14" s="4" t="n">
        <v>0.2</v>
      </c>
      <c r="E14" s="35" t="n"/>
      <c r="F14" s="35" t="inlineStr">
        <is>
          <t>退出PS=可比PS×折价</t>
        </is>
      </c>
    </row>
    <row r="15" ht="17" customHeight="1" s="39">
      <c r="A15" s="35" t="inlineStr">
        <is>
          <t>至IPO累计稀释率</t>
        </is>
      </c>
      <c r="B15" s="4" t="n">
        <v>0.45</v>
      </c>
      <c r="C15" s="4" t="n">
        <v>0.55</v>
      </c>
      <c r="D15" s="4" t="n">
        <v>0.65</v>
      </c>
      <c r="E15" s="35" t="n"/>
      <c r="F15" s="35" t="inlineStr">
        <is>
          <t>本轮股比被后续摊薄</t>
        </is>
      </c>
    </row>
    <row r="16" ht="34" customHeight="1" s="39">
      <c r="A16" s="35" t="inlineStr">
        <is>
          <t>情景概率</t>
        </is>
      </c>
      <c r="B16" s="4" t="n">
        <v>0.2</v>
      </c>
      <c r="C16" s="4" t="n">
        <v>0.55</v>
      </c>
      <c r="D16" s="4" t="n">
        <v>0.25</v>
      </c>
      <c r="E16" s="8">
        <f>B16+C16+D16</f>
        <v/>
      </c>
      <c r="F16" s="35" t="inlineStr">
        <is>
          <t>三概率合计应=100%</t>
        </is>
      </c>
    </row>
    <row r="17"/>
    <row r="18">
      <c r="A18" s="32" t="inlineStr">
        <is>
          <t>三、各情景计算</t>
        </is>
      </c>
      <c r="B18" s="33" t="n"/>
      <c r="C18" s="33" t="n"/>
      <c r="D18" s="33" t="n"/>
      <c r="E18" s="33" t="n"/>
      <c r="F18" s="34" t="n"/>
    </row>
    <row r="19" ht="17" customHeight="1" s="39">
      <c r="A19" s="43" t="inlineStr">
        <is>
          <t>计算项</t>
        </is>
      </c>
      <c r="B19" s="14" t="inlineStr">
        <is>
          <t>乐观</t>
        </is>
      </c>
      <c r="C19" s="14" t="inlineStr">
        <is>
          <t>基准</t>
        </is>
      </c>
      <c r="D19" s="14" t="inlineStr">
        <is>
          <t>悲观</t>
        </is>
      </c>
      <c r="E19" s="14" t="inlineStr">
        <is>
          <t>概率加权</t>
        </is>
      </c>
      <c r="F19" s="43" t="n"/>
    </row>
    <row r="20" ht="17" customHeight="1" s="39">
      <c r="A20" s="35" t="inlineStr">
        <is>
          <t>退出营收（万元）</t>
        </is>
      </c>
      <c r="B20" s="51">
        <f>$B$7*B13</f>
        <v/>
      </c>
      <c r="C20" s="51">
        <f>$B$7*C13</f>
        <v/>
      </c>
      <c r="D20" s="51">
        <f>$B$7*D13</f>
        <v/>
      </c>
      <c r="E20" s="51">
        <f>B20*B$16+C20*C$16+D20*D$16</f>
        <v/>
      </c>
    </row>
    <row r="21" ht="17" customHeight="1" s="39">
      <c r="A21" s="35" t="inlineStr">
        <is>
          <t>退出PS倍数（x）</t>
        </is>
      </c>
      <c r="B21" s="56">
        <f>$B$9*B14</f>
        <v/>
      </c>
      <c r="C21" s="56">
        <f>$B$9*C14</f>
        <v/>
      </c>
      <c r="D21" s="56">
        <f>$B$9*D14</f>
        <v/>
      </c>
      <c r="E21" s="56">
        <f>B21*B$16+C21*C$16+D21*D$16</f>
        <v/>
      </c>
    </row>
    <row r="22" ht="17" customHeight="1" s="39">
      <c r="A22" s="35" t="inlineStr">
        <is>
          <t>退出股权价值（万元）</t>
        </is>
      </c>
      <c r="B22" s="51">
        <f>B20*B21</f>
        <v/>
      </c>
      <c r="C22" s="51">
        <f>C20*C21</f>
        <v/>
      </c>
      <c r="D22" s="51">
        <f>D20*D21</f>
        <v/>
      </c>
      <c r="E22" s="52">
        <f>B22*B$16+C22*C$16+D22*D$16</f>
        <v/>
      </c>
    </row>
    <row r="23" ht="17" customHeight="1" s="39">
      <c r="A23" s="35" t="inlineStr">
        <is>
          <t>要求退出收益（万元）</t>
        </is>
      </c>
      <c r="B23" s="51">
        <f>$B$5*$B$8</f>
        <v/>
      </c>
      <c r="C23" s="51">
        <f>$B$5*$B$8</f>
        <v/>
      </c>
      <c r="D23" s="51">
        <f>$B$5*$B$8</f>
        <v/>
      </c>
      <c r="E23" s="51">
        <f>$B$5*$B$8</f>
        <v/>
      </c>
    </row>
    <row r="24" ht="17" customHeight="1" s="39">
      <c r="A24" s="35" t="inlineStr">
        <is>
          <t>退出时所需股比</t>
        </is>
      </c>
      <c r="B24" s="54">
        <f>B23/B22</f>
        <v/>
      </c>
      <c r="C24" s="54">
        <f>C23/C22</f>
        <v/>
      </c>
      <c r="D24" s="54">
        <f>D23/D22</f>
        <v/>
      </c>
      <c r="E24" s="54">
        <f>E23/E22</f>
        <v/>
      </c>
    </row>
    <row r="25" ht="17" customHeight="1" s="39">
      <c r="A25" s="35" t="inlineStr">
        <is>
          <t>本轮所需股比（还原稀释）</t>
        </is>
      </c>
      <c r="B25" s="54">
        <f>B24/(1-B15)</f>
        <v/>
      </c>
      <c r="C25" s="54">
        <f>C24/(1-C15)</f>
        <v/>
      </c>
      <c r="D25" s="54">
        <f>D24/(1-D15)</f>
        <v/>
      </c>
      <c r="E25" s="54">
        <f>E24/(1-(B15*B$16+C15*C$16+D15*D$16))</f>
        <v/>
      </c>
    </row>
    <row r="26" ht="17" customHeight="1" s="39">
      <c r="A26" s="35" t="inlineStr">
        <is>
          <t>可投性（股比&lt;50%）</t>
        </is>
      </c>
      <c r="B26" s="9">
        <f>IF(B25&lt;0.5,"可投","过高")</f>
        <v/>
      </c>
      <c r="C26" s="9">
        <f>IF(C25&lt;0.5,"可投","过高")</f>
        <v/>
      </c>
      <c r="D26" s="9">
        <f>IF(D25&lt;0.5,"可投","过高")</f>
        <v/>
      </c>
      <c r="E26" s="9">
        <f>IF(E25&lt;0.5,"可投","过高")</f>
        <v/>
      </c>
    </row>
    <row r="27" ht="17" customHeight="1" s="39">
      <c r="A27" s="35" t="inlineStr">
        <is>
          <t>隐含投后估值（万元）</t>
        </is>
      </c>
      <c r="B27" s="51">
        <f>$B$5/B25</f>
        <v/>
      </c>
      <c r="C27" s="51">
        <f>$B$5/C25</f>
        <v/>
      </c>
      <c r="D27" s="51">
        <f>$B$5/D25</f>
        <v/>
      </c>
      <c r="E27" s="52">
        <f>$B$5/E25</f>
        <v/>
      </c>
    </row>
    <row r="28" ht="17" customHeight="1" s="39">
      <c r="A28" s="35" t="inlineStr">
        <is>
          <t>隐含投前估值（万元）</t>
        </is>
      </c>
      <c r="B28" s="51">
        <f>B27-$B$5</f>
        <v/>
      </c>
      <c r="C28" s="51">
        <f>C27-$B$5</f>
        <v/>
      </c>
      <c r="D28" s="51">
        <f>D27-$B$5</f>
        <v/>
      </c>
      <c r="E28" s="52">
        <f>E27-$B$5</f>
        <v/>
      </c>
    </row>
    <row r="29"/>
    <row r="30">
      <c r="A30" s="32" t="inlineStr">
        <is>
          <t>四、VC Method 估值结论</t>
        </is>
      </c>
      <c r="B30" s="33" t="n"/>
      <c r="C30" s="33" t="n"/>
      <c r="D30" s="33" t="n"/>
      <c r="E30" s="33" t="n"/>
      <c r="F30" s="34" t="n"/>
    </row>
    <row r="31" ht="17" customHeight="1" s="39">
      <c r="A31" s="35" t="inlineStr">
        <is>
          <t>概率加权退出股权价值</t>
        </is>
      </c>
      <c r="B31" s="51">
        <f>E22</f>
        <v/>
      </c>
      <c r="C31" s="35" t="inlineStr">
        <is>
          <t>概率加权所需股比</t>
        </is>
      </c>
      <c r="D31" s="54">
        <f>E25</f>
        <v/>
      </c>
    </row>
    <row r="32" ht="17" customHeight="1" s="39">
      <c r="A32" s="41" t="inlineStr">
        <is>
          <t>概率加权投后估值</t>
        </is>
      </c>
      <c r="B32" s="52">
        <f>E27</f>
        <v/>
      </c>
      <c r="C32" s="35" t="inlineStr">
        <is>
          <t>本轮投资额</t>
        </is>
      </c>
      <c r="D32" s="51">
        <f>B5</f>
        <v/>
      </c>
    </row>
    <row r="33" ht="17" customHeight="1" s="39">
      <c r="A33" s="41" t="inlineStr">
        <is>
          <t>概率加权投前估值</t>
        </is>
      </c>
      <c r="B33" s="52">
        <f>E28</f>
        <v/>
      </c>
    </row>
    <row r="34" ht="17" customHeight="1" s="39">
      <c r="A34" s="41" t="inlineStr">
        <is>
          <t>VC Method 投前估值（用于汇总）</t>
        </is>
      </c>
      <c r="B34" s="52">
        <f>E28</f>
        <v/>
      </c>
    </row>
    <row r="35"/>
    <row r="36">
      <c r="A36" s="38" t="inlineStr">
        <is>
          <t>注：可比PS倍数交叉校验（近端营收×早期PS）已独立至「可比估值」表，详见该表。</t>
        </is>
      </c>
    </row>
  </sheetData>
  <mergeCells count="7">
    <mergeCell ref="A2:F2"/>
    <mergeCell ref="A11:F11"/>
    <mergeCell ref="A36:F36"/>
    <mergeCell ref="A1:F1"/>
    <mergeCell ref="A18:F18"/>
    <mergeCell ref="A4:F4"/>
    <mergeCell ref="A30:F30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10" defaultColWidth="8.83203125" defaultRowHeight="14"/>
  <cols>
    <col width="26" customWidth="1" style="39" min="1" max="1"/>
    <col width="14" customWidth="1" style="39" min="2" max="2"/>
    <col width="12" customWidth="1" style="39" min="3" max="3"/>
    <col width="14" customWidth="1" style="39" min="4" max="4"/>
    <col width="40" customWidth="1" style="39" min="5" max="5"/>
  </cols>
  <sheetData>
    <row r="1">
      <c r="A1" s="40" t="inlineStr">
        <is>
          <t>Scorecard Method（计分卡法）</t>
        </is>
      </c>
    </row>
    <row r="2">
      <c r="A2" s="38" t="inlineStr">
        <is>
          <t>投前 = 行业基准投前估值 × 加权得分（100%=行业平均）。单位：万元。</t>
        </is>
      </c>
    </row>
    <row r="3"/>
    <row r="4">
      <c r="A4" s="32" t="inlineStr">
        <is>
          <t>一、基准与维度打分</t>
        </is>
      </c>
      <c r="B4" s="33" t="n"/>
      <c r="C4" s="33" t="n"/>
      <c r="D4" s="33" t="n"/>
      <c r="E4" s="34" t="n"/>
    </row>
    <row r="5" ht="16" customHeight="1" s="39">
      <c r="A5" s="35" t="inlineStr">
        <is>
          <t>半导体/硬科技 天使轮基准投前（万元）</t>
        </is>
      </c>
      <c r="B5" s="53" t="n">
        <v>9000</v>
      </c>
    </row>
    <row r="6"/>
    <row r="7" ht="17" customHeight="1" s="39">
      <c r="A7" s="43" t="inlineStr">
        <is>
          <t>维度</t>
        </is>
      </c>
      <c r="B7" s="14" t="inlineStr">
        <is>
          <t>权重</t>
        </is>
      </c>
      <c r="C7" s="14" t="inlineStr">
        <is>
          <t>得分</t>
        </is>
      </c>
      <c r="D7" s="14" t="inlineStr">
        <is>
          <t>加权</t>
        </is>
      </c>
      <c r="E7" s="43" t="inlineStr">
        <is>
          <t>打分理由</t>
        </is>
      </c>
    </row>
    <row r="8" ht="34" customHeight="1" s="39">
      <c r="A8" s="35" t="inlineStr">
        <is>
          <t>团队质量</t>
        </is>
      </c>
      <c r="B8" s="4" t="n">
        <v>0.3</v>
      </c>
      <c r="C8" s="4" t="n">
        <v>1.5</v>
      </c>
      <c r="D8" s="54">
        <f>B8*C8</f>
        <v/>
      </c>
      <c r="E8" s="35" t="inlineStr">
        <is>
          <t>李明远教授(世界前1%材料学者,国家级领军人才)领衔;核心团队含30年半导体大厂经验,团队完整。显著优于均值。</t>
        </is>
      </c>
    </row>
    <row r="9" ht="34" customHeight="1" s="39">
      <c r="A9" s="35" t="inlineStr">
        <is>
          <t>市场规模</t>
        </is>
      </c>
      <c r="B9" s="4" t="n">
        <v>0.25</v>
      </c>
      <c r="C9" s="4" t="n">
        <v>1.3</v>
      </c>
      <c r="D9" s="54">
        <f>B9*C9</f>
        <v/>
      </c>
      <c r="E9" s="35" t="inlineStr">
        <is>
          <t>MCS/ESC/加热器/Si3N4合计数十亿美元级,国产替代迫切,TAM大且增长。优于均值。</t>
        </is>
      </c>
    </row>
    <row r="10" ht="34" customHeight="1" s="39">
      <c r="A10" s="35" t="inlineStr">
        <is>
          <t>产品/技术</t>
        </is>
      </c>
      <c r="B10" s="4" t="n">
        <v>0.15</v>
      </c>
      <c r="C10" s="4" t="n">
        <v>1.4</v>
      </c>
      <c r="D10" s="54">
        <f>B10*C10</f>
        <v/>
      </c>
      <c r="E10" s="35" t="inlineStr">
        <is>
          <t>共键合原创工艺,实测键合强度≥310MPa、Si3N4热导率超日本;发明专利2项+专有技术。高壁垒。</t>
        </is>
      </c>
    </row>
    <row r="11" ht="34" customHeight="1" s="39">
      <c r="A11" s="35" t="inlineStr">
        <is>
          <t>竞争环境</t>
        </is>
      </c>
      <c r="B11" s="4" t="n">
        <v>0.1</v>
      </c>
      <c r="C11" s="4" t="n">
        <v>1.2</v>
      </c>
      <c r="D11" s="54">
        <f>B11*C11</f>
        <v/>
      </c>
      <c r="E11" s="35" t="inlineStr">
        <is>
          <t>高端MCS近乎日本垄断,国内空白;技术差异化明显,但需验证可复制良率。略优。</t>
        </is>
      </c>
    </row>
    <row r="12" ht="34" customHeight="1" s="39">
      <c r="A12" s="35" t="inlineStr">
        <is>
          <t>市场/销售</t>
        </is>
      </c>
      <c r="B12" s="4" t="n">
        <v>0.1</v>
      </c>
      <c r="C12" s="4" t="n">
        <v>1</v>
      </c>
      <c r="D12" s="54">
        <f>B12*C12</f>
        <v/>
      </c>
      <c r="E12" s="35" t="inlineStr">
        <is>
          <t>已与华芯国际、北方精创等头部沟通,尚无签约订单与量产验证。中性。</t>
        </is>
      </c>
    </row>
    <row r="13" ht="34" customHeight="1" s="39">
      <c r="A13" s="35" t="inlineStr">
        <is>
          <t>其他(政策/退出)</t>
        </is>
      </c>
      <c r="B13" s="4" t="n">
        <v>0.1</v>
      </c>
      <c r="C13" s="4" t="n">
        <v>1.2</v>
      </c>
      <c r="D13" s="54">
        <f>B13*C13</f>
        <v/>
      </c>
      <c r="E13" s="35" t="inlineStr">
        <is>
          <t>卡脖子赛道政策强支持,科创板退出通道明确;但认证周期长、资本密集。略优。</t>
        </is>
      </c>
    </row>
    <row r="14" ht="17" customHeight="1" s="39">
      <c r="A14" s="41" t="inlineStr">
        <is>
          <t>合计</t>
        </is>
      </c>
      <c r="B14" s="8">
        <f>SUM(B8:B13)</f>
        <v/>
      </c>
      <c r="C14" s="16" t="n"/>
      <c r="D14" s="57">
        <f>SUM(D8:D13)</f>
        <v/>
      </c>
      <c r="E14" s="41" t="inlineStr">
        <is>
          <t>加权得分</t>
        </is>
      </c>
    </row>
    <row r="15"/>
    <row r="16">
      <c r="A16" s="32" t="inlineStr">
        <is>
          <t>二、Scorecard 估值结论</t>
        </is>
      </c>
      <c r="B16" s="33" t="n"/>
      <c r="C16" s="33" t="n"/>
      <c r="D16" s="33" t="n"/>
      <c r="E16" s="34" t="n"/>
    </row>
    <row r="17" ht="17" customHeight="1" s="39">
      <c r="A17" s="35" t="inlineStr">
        <is>
          <t>行业基准投前（万元）</t>
        </is>
      </c>
      <c r="B17" s="51">
        <f>B5</f>
        <v/>
      </c>
    </row>
    <row r="18" ht="17" customHeight="1" s="39">
      <c r="A18" s="41" t="inlineStr">
        <is>
          <t>Scorecard 投前估值（万元）</t>
        </is>
      </c>
      <c r="B18" s="52">
        <f>B5*D14</f>
        <v/>
      </c>
    </row>
  </sheetData>
  <mergeCells count="5">
    <mergeCell ref="A4:E4"/>
    <mergeCell ref="A2:E2"/>
    <mergeCell ref="A16:E16"/>
    <mergeCell ref="A1:E1"/>
    <mergeCell ref="A5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10" defaultColWidth="8.83203125" defaultRowHeight="14"/>
  <cols>
    <col width="24" customWidth="1" style="39" min="1" max="1"/>
    <col width="16" customWidth="1" style="39" min="2" max="3"/>
    <col width="40" customWidth="1" style="39" min="4" max="4"/>
  </cols>
  <sheetData>
    <row r="1">
      <c r="A1" s="40" t="inlineStr">
        <is>
          <t>Berkus Method（伯克斯法）</t>
        </is>
      </c>
    </row>
    <row r="2">
      <c r="A2" s="38" t="inlineStr">
        <is>
          <t>投前 = 五要素赋值之和 × 行业系数。适用最早期项目。单位：万元。</t>
        </is>
      </c>
    </row>
    <row r="3"/>
    <row r="4">
      <c r="A4" s="32" t="inlineStr">
        <is>
          <t>一、五要素赋值</t>
        </is>
      </c>
      <c r="B4" s="33" t="n"/>
      <c r="C4" s="33" t="n"/>
      <c r="D4" s="34" t="n"/>
    </row>
    <row r="5" ht="17" customHeight="1" s="39">
      <c r="A5" s="43" t="inlineStr">
        <is>
          <t>要素</t>
        </is>
      </c>
      <c r="B5" s="14" t="inlineStr">
        <is>
          <t>赋值(万元)</t>
        </is>
      </c>
      <c r="C5" s="14" t="inlineStr">
        <is>
          <t>上限(万元)</t>
        </is>
      </c>
      <c r="D5" s="43" t="inlineStr">
        <is>
          <t>理由</t>
        </is>
      </c>
    </row>
    <row r="6" ht="17" customHeight="1" s="39">
      <c r="A6" s="35" t="inlineStr">
        <is>
          <t>合理创意/商业价值</t>
        </is>
      </c>
      <c r="B6" s="53" t="n">
        <v>90</v>
      </c>
      <c r="C6" s="58" t="n">
        <v>100</v>
      </c>
      <c r="D6" s="35" t="inlineStr">
        <is>
          <t>卡脖子材料国产替代,商业价值验证充分,接近上限。</t>
        </is>
      </c>
    </row>
    <row r="7" ht="17" customHeight="1" s="39">
      <c r="A7" s="35" t="inlineStr">
        <is>
          <t>原型产品/技术验证</t>
        </is>
      </c>
      <c r="B7" s="53" t="n">
        <v>180</v>
      </c>
      <c r="C7" s="58" t="n">
        <v>200</v>
      </c>
      <c r="D7" s="35" t="inlineStr">
        <is>
          <t>已制备2英寸/6英寸样品,Micro-CT无缺陷,接近上限。</t>
        </is>
      </c>
    </row>
    <row r="8" ht="17" customHeight="1" s="39">
      <c r="A8" s="35" t="inlineStr">
        <is>
          <t>优质团队</t>
        </is>
      </c>
      <c r="B8" s="53" t="n">
        <v>280</v>
      </c>
      <c r="C8" s="58" t="n">
        <v>300</v>
      </c>
      <c r="D8" s="35" t="inlineStr">
        <is>
          <t>顶尖科学家+完整产业化团队,接近上限。</t>
        </is>
      </c>
    </row>
    <row r="9" ht="17" customHeight="1" s="39">
      <c r="A9" s="35" t="inlineStr">
        <is>
          <t>战略关系</t>
        </is>
      </c>
      <c r="B9" s="53" t="n">
        <v>110</v>
      </c>
      <c r="C9" s="58" t="n">
        <v>150</v>
      </c>
      <c r="D9" s="35" t="inlineStr">
        <is>
          <t>与华芯国际、北方精创等头部沟通中,尚未签约。</t>
        </is>
      </c>
    </row>
    <row r="10" ht="17" customHeight="1" s="39">
      <c r="A10" s="35" t="inlineStr">
        <is>
          <t>产品发布/销售</t>
        </is>
      </c>
      <c r="B10" s="53" t="n">
        <v>60</v>
      </c>
      <c r="C10" s="58" t="n">
        <v>250</v>
      </c>
      <c r="D10" s="35" t="inlineStr">
        <is>
          <t>尚处小批量/送样验证阶段,无规模销售。</t>
        </is>
      </c>
    </row>
    <row r="11" ht="17" customHeight="1" s="39">
      <c r="A11" s="41" t="inlineStr">
        <is>
          <t>要素赋值合计</t>
        </is>
      </c>
      <c r="B11" s="52">
        <f>SUM(B6:B10)</f>
        <v/>
      </c>
      <c r="C11" s="51">
        <f>SUM(C6:C10)</f>
        <v/>
      </c>
      <c r="D11" s="35" t="inlineStr">
        <is>
          <t>基础值(未乘行业系数)</t>
        </is>
      </c>
    </row>
    <row r="12" ht="17" customHeight="1" s="39">
      <c r="A12" s="35" t="inlineStr">
        <is>
          <t>行业系数(硬件/制造)</t>
        </is>
      </c>
      <c r="B12" s="55" t="n">
        <v>0.9</v>
      </c>
    </row>
    <row r="13">
      <c r="A13" s="32" t="inlineStr">
        <is>
          <t>二、Berkus 估值结论</t>
        </is>
      </c>
      <c r="B13" s="33" t="n"/>
      <c r="C13" s="33" t="n"/>
      <c r="D13" s="34" t="n"/>
    </row>
    <row r="14" ht="17" customHeight="1" s="39">
      <c r="A14" s="41" t="inlineStr">
        <is>
          <t>Berkus 投前估值（万元）</t>
        </is>
      </c>
      <c r="B14" s="52">
        <f>B11*B12</f>
        <v/>
      </c>
    </row>
    <row r="15">
      <c r="A15" s="38" t="inlineStr">
        <is>
          <t>注：Berkus 天使轮总上限有限,对深科技项目通常偏保守,故仅赋20%权重。</t>
        </is>
      </c>
    </row>
  </sheetData>
  <mergeCells count="5">
    <mergeCell ref="A1:D1"/>
    <mergeCell ref="A4:D4"/>
    <mergeCell ref="A15:D15"/>
    <mergeCell ref="A2:D2"/>
    <mergeCell ref="A13:D13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tabSelected="1" workbookViewId="0">
      <selection activeCell="F19" sqref="F19"/>
    </sheetView>
  </sheetViews>
  <sheetFormatPr baseColWidth="10" defaultColWidth="8.83203125" defaultRowHeight="14"/>
  <cols>
    <col width="26" customWidth="1" style="39" min="1" max="1"/>
    <col width="20" customWidth="1" style="39" min="2" max="2"/>
    <col width="15" customWidth="1" style="39" min="3" max="3"/>
    <col width="18" customWidth="1" style="39" min="4" max="4"/>
    <col width="36" customWidth="1" style="39" min="5" max="5"/>
  </cols>
  <sheetData>
    <row r="1">
      <c r="A1" s="40" t="inlineStr">
        <is>
          <t>可比估值（Comparable Company Analysis · PS 倍数法）</t>
        </is>
      </c>
    </row>
    <row r="2">
      <c r="A2" s="38" t="inlineStr">
        <is>
          <t>以可比上市公司 EV/Revenue（市销率PS）为锚，对臻陶科技做近端PS交叉校验，作为估值区间上沿参照。单位：万元（除倍数）。</t>
        </is>
      </c>
    </row>
    <row r="3"/>
    <row r="4">
      <c r="A4" s="32" t="inlineStr">
        <is>
          <t>一、可比上市公司 EV/Revenue 倍数</t>
        </is>
      </c>
      <c r="B4" s="33" t="n"/>
      <c r="C4" s="33" t="n"/>
      <c r="D4" s="33" t="n"/>
      <c r="E4" s="34" t="n"/>
    </row>
    <row r="5" ht="17" customHeight="1" s="39">
      <c r="A5" s="43" t="inlineStr">
        <is>
          <t>公司</t>
        </is>
      </c>
      <c r="B5" s="43" t="inlineStr">
        <is>
          <t>领域</t>
        </is>
      </c>
      <c r="C5" s="14" t="inlineStr">
        <is>
          <t>EV/Revenue(x)</t>
        </is>
      </c>
      <c r="D5" s="43" t="inlineStr">
        <is>
          <t>备注</t>
        </is>
      </c>
      <c r="E5" s="37" t="n"/>
    </row>
    <row r="6" ht="17" customHeight="1" s="39">
      <c r="A6" s="35" t="inlineStr">
        <is>
          <t>富创精密</t>
        </is>
      </c>
      <c r="B6" s="35" t="inlineStr">
        <is>
          <t>半导体设备精密零部件</t>
        </is>
      </c>
      <c r="C6" s="55" t="n">
        <v>9</v>
      </c>
      <c r="D6" s="35" t="inlineStr">
        <is>
          <t>半导体零部件平台型企业</t>
        </is>
      </c>
      <c r="E6" s="37" t="n"/>
    </row>
    <row r="7" ht="17" customHeight="1" s="39">
      <c r="A7" s="35" t="inlineStr">
        <is>
          <t>珂玛科技</t>
        </is>
      </c>
      <c r="B7" s="35" t="inlineStr">
        <is>
          <t>半导体陶瓷零部件</t>
        </is>
      </c>
      <c r="C7" s="55" t="n">
        <v>11</v>
      </c>
      <c r="D7" s="35" t="inlineStr">
        <is>
          <t>陶瓷材料与结构件</t>
        </is>
      </c>
      <c r="E7" s="37" t="n"/>
    </row>
    <row r="8" ht="17" customHeight="1" s="39">
      <c r="A8" s="35" t="inlineStr">
        <is>
          <t>华卓精科</t>
        </is>
      </c>
      <c r="B8" s="35" t="inlineStr">
        <is>
          <t>精密运动系统</t>
        </is>
      </c>
      <c r="C8" s="55" t="n">
        <v>12</v>
      </c>
      <c r="D8" s="35" t="inlineStr">
        <is>
          <t>光刻机精密运动台</t>
        </is>
      </c>
      <c r="E8" s="37" t="n"/>
    </row>
    <row r="9" ht="17" customHeight="1" s="39">
      <c r="A9" s="35" t="inlineStr">
        <is>
          <t>神工股份</t>
        </is>
      </c>
      <c r="B9" s="35" t="inlineStr">
        <is>
          <t>半导体级硅材料</t>
        </is>
      </c>
      <c r="C9" s="55" t="n">
        <v>7</v>
      </c>
      <c r="D9" s="35" t="inlineStr">
        <is>
          <t>刻蚀用硅零部件</t>
        </is>
      </c>
      <c r="E9" s="37" t="n"/>
    </row>
    <row r="10" ht="17" customHeight="1" s="39">
      <c r="A10" s="35" t="inlineStr">
        <is>
          <t>行业中位</t>
        </is>
      </c>
      <c r="B10" s="35" t="inlineStr">
        <is>
          <t>半导体零部件板块</t>
        </is>
      </c>
      <c r="C10" s="55" t="n">
        <v>8</v>
      </c>
      <c r="D10" s="35" t="inlineStr">
        <is>
          <t>报告采用锚点</t>
        </is>
      </c>
      <c r="E10" s="37" t="n"/>
    </row>
    <row r="11"/>
    <row r="12">
      <c r="A12" s="32" t="inlineStr">
        <is>
          <t>二、倍数统计</t>
        </is>
      </c>
      <c r="B12" s="33" t="n"/>
      <c r="C12" s="33" t="n"/>
      <c r="D12" s="33" t="n"/>
      <c r="E12" s="34" t="n"/>
    </row>
    <row r="13" ht="17" customHeight="1" s="39">
      <c r="A13" s="35" t="inlineStr">
        <is>
          <t>区间下沿</t>
        </is>
      </c>
      <c r="B13" s="56">
        <f>MIN(C6:C9)</f>
        <v/>
      </c>
      <c r="C13" s="9" t="inlineStr">
        <is>
          <t>至</t>
        </is>
      </c>
      <c r="D13" s="56">
        <f>MAX(C6:C9)</f>
        <v/>
      </c>
      <c r="E13" s="35" t="inlineStr">
        <is>
          <t>可比区间 7-12x</t>
        </is>
      </c>
    </row>
    <row r="14" ht="17" customHeight="1" s="39">
      <c r="A14" s="35" t="inlineStr">
        <is>
          <t>行业中位</t>
        </is>
      </c>
      <c r="B14" s="56">
        <f>C10</f>
        <v/>
      </c>
      <c r="E14" s="35" t="inlineStr">
        <is>
          <t>报告口径约 8x</t>
        </is>
      </c>
    </row>
    <row r="15" ht="17" customHeight="1" s="39">
      <c r="A15" s="35" t="inlineStr">
        <is>
          <t>简单均值</t>
        </is>
      </c>
      <c r="B15" s="56">
        <f>AVERAGE(C6:C9)</f>
        <v/>
      </c>
      <c r="E15" s="35" t="inlineStr">
        <is>
          <t>四家可比均值 ≈9.75x（供参考）</t>
        </is>
      </c>
    </row>
    <row r="16"/>
    <row r="17">
      <c r="A17" s="32" t="inlineStr">
        <is>
          <t>三、可比估值推导（近端营收 × 早期PS倍数）</t>
        </is>
      </c>
      <c r="B17" s="33" t="n"/>
      <c r="C17" s="33" t="n"/>
      <c r="D17" s="33" t="n"/>
      <c r="E17" s="34" t="n"/>
    </row>
    <row r="18" ht="17" customHeight="1" s="39">
      <c r="A18" s="35" t="inlineStr">
        <is>
          <t>近端营收 2028E（万元）</t>
        </is>
      </c>
      <c r="B18" s="53" t="n">
        <v>3000</v>
      </c>
    </row>
    <row r="19" ht="17" customHeight="1" s="39">
      <c r="A19" s="35" t="inlineStr">
        <is>
          <t>采用PS倍数（x）</t>
        </is>
      </c>
      <c r="B19" s="55" t="n">
        <v>12</v>
      </c>
    </row>
    <row r="20" ht="17" customHeight="1" s="39">
      <c r="A20" s="41" t="inlineStr">
        <is>
          <t>可比PS隐含投前估值（万元）</t>
        </is>
      </c>
      <c r="B20" s="52">
        <f>B18*B19</f>
        <v/>
      </c>
    </row>
    <row r="21" ht="17" customHeight="1" s="39">
      <c r="A21" s="35" t="inlineStr">
        <is>
          <t>对应（亿元）</t>
        </is>
      </c>
      <c r="B21" s="19">
        <f>B20/10000</f>
        <v/>
      </c>
    </row>
    <row r="22"/>
    <row r="23">
      <c r="A23" s="38" t="inlineStr">
        <is>
          <t>校验口径：以近端营收×早期PS倍数近似当期股权价值，作为VC Method的横向参照，构成估值区间上沿（3.6亿元）；若按行业中位8x，则对应约2.4亿元的保守参照。</t>
        </is>
      </c>
    </row>
    <row r="24"/>
  </sheetData>
  <mergeCells count="12">
    <mergeCell ref="D8:E8"/>
    <mergeCell ref="D6:E6"/>
    <mergeCell ref="A12:E12"/>
    <mergeCell ref="A4:E4"/>
    <mergeCell ref="D7:E7"/>
    <mergeCell ref="D10:E10"/>
    <mergeCell ref="A2:E2"/>
    <mergeCell ref="A23:E24"/>
    <mergeCell ref="D5:E5"/>
    <mergeCell ref="A1:E1"/>
    <mergeCell ref="D9:E9"/>
    <mergeCell ref="A17:E17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0" workbookViewId="0">
      <selection activeCell="A1" sqref="A1:G1"/>
    </sheetView>
  </sheetViews>
  <sheetFormatPr baseColWidth="10" defaultColWidth="8.83203125" defaultRowHeight="14"/>
  <cols>
    <col width="26" customWidth="1" style="39" min="1" max="1"/>
    <col width="13" customWidth="1" style="39" min="2" max="7"/>
  </cols>
  <sheetData>
    <row r="1">
      <c r="A1" s="40" t="inlineStr">
        <is>
          <t>情景 DCF（无杠杆自由现金流）· 内在价值交叉校验</t>
        </is>
      </c>
    </row>
    <row r="2">
      <c r="A2" s="38" t="inlineStr">
        <is>
          <t>早期深科技用高WACC吸收执行/生存风险（不再单独乘生存概率，避免重复计风险）。单位：万元；括号为流出。</t>
        </is>
      </c>
    </row>
    <row r="3"/>
    <row r="4" ht="17" customHeight="1" s="39">
      <c r="A4" s="43" t="inlineStr">
        <is>
          <t>情景选择器 (1=熊 2=基准 3=牛)</t>
        </is>
      </c>
      <c r="B4" s="12" t="n">
        <v>2</v>
      </c>
    </row>
    <row r="5" ht="17" customHeight="1" s="39">
      <c r="A5" s="35" t="inlineStr">
        <is>
          <t>当前情景</t>
        </is>
      </c>
      <c r="B5" s="20">
        <f>CHOOSE($B$4,"熊市 Bear","基准 Base","牛市 Bull")</f>
        <v/>
      </c>
    </row>
    <row r="6">
      <c r="A6" s="32" t="inlineStr">
        <is>
          <t>一、情景假设与选择（营收乘数×BP / EBIT利润率）</t>
        </is>
      </c>
      <c r="B6" s="33" t="n"/>
      <c r="C6" s="33" t="n"/>
      <c r="D6" s="33" t="n"/>
      <c r="E6" s="33" t="n"/>
      <c r="F6" s="33" t="n"/>
      <c r="G6" s="34" t="n"/>
    </row>
    <row r="7" ht="17" customHeight="1" s="39">
      <c r="A7" s="43" t="inlineStr">
        <is>
          <t>假设 \ 年份</t>
        </is>
      </c>
      <c r="B7" s="21" t="inlineStr">
        <is>
          <t>2027E</t>
        </is>
      </c>
      <c r="C7" s="21" t="inlineStr">
        <is>
          <t>2028E</t>
        </is>
      </c>
      <c r="D7" s="21" t="inlineStr">
        <is>
          <t>2029E</t>
        </is>
      </c>
      <c r="E7" s="21" t="inlineStr">
        <is>
          <t>2030E</t>
        </is>
      </c>
      <c r="F7" s="21" t="inlineStr">
        <is>
          <t>2031E</t>
        </is>
      </c>
    </row>
    <row r="8" ht="17" customHeight="1" s="39">
      <c r="A8" s="35" t="inlineStr">
        <is>
          <t>熊市·营收乘数</t>
        </is>
      </c>
      <c r="B8" s="55" t="n">
        <v>0.6</v>
      </c>
      <c r="C8" s="55" t="n">
        <v>0.6</v>
      </c>
      <c r="D8" s="55" t="n">
        <v>0.6</v>
      </c>
      <c r="E8" s="55" t="n">
        <v>0.6</v>
      </c>
      <c r="F8" s="55" t="n">
        <v>0.6</v>
      </c>
    </row>
    <row r="9" ht="17" customHeight="1" s="39">
      <c r="A9" s="35" t="inlineStr">
        <is>
          <t>熊市·EBIT利润率</t>
        </is>
      </c>
      <c r="B9" s="59" t="n">
        <v>-1</v>
      </c>
      <c r="C9" s="59" t="n">
        <v>-0.5</v>
      </c>
      <c r="D9" s="59" t="n">
        <v>-0.15</v>
      </c>
      <c r="E9" s="59" t="n">
        <v>0.05</v>
      </c>
      <c r="F9" s="59" t="n">
        <v>0.15</v>
      </c>
    </row>
    <row r="10" ht="17" customHeight="1" s="39">
      <c r="A10" s="35" t="inlineStr">
        <is>
          <t>基准·营收乘数</t>
        </is>
      </c>
      <c r="B10" s="55" t="n">
        <v>1</v>
      </c>
      <c r="C10" s="55" t="n">
        <v>1</v>
      </c>
      <c r="D10" s="55" t="n">
        <v>1</v>
      </c>
      <c r="E10" s="55" t="n">
        <v>1</v>
      </c>
      <c r="F10" s="55" t="n">
        <v>1</v>
      </c>
    </row>
    <row r="11" ht="17" customHeight="1" s="39">
      <c r="A11" s="35" t="inlineStr">
        <is>
          <t>基准·EBIT利润率</t>
        </is>
      </c>
      <c r="B11" s="59" t="n">
        <v>-0.8</v>
      </c>
      <c r="C11" s="59" t="n">
        <v>-0.3</v>
      </c>
      <c r="D11" s="59" t="n">
        <v>0</v>
      </c>
      <c r="E11" s="59" t="n">
        <v>0.12</v>
      </c>
      <c r="F11" s="59" t="n">
        <v>0.22</v>
      </c>
    </row>
    <row r="12" ht="17" customHeight="1" s="39">
      <c r="A12" s="35" t="inlineStr">
        <is>
          <t>牛市·营收乘数</t>
        </is>
      </c>
      <c r="B12" s="55" t="n">
        <v>1.25</v>
      </c>
      <c r="C12" s="55" t="n">
        <v>1.25</v>
      </c>
      <c r="D12" s="55" t="n">
        <v>1.25</v>
      </c>
      <c r="E12" s="55" t="n">
        <v>1.25</v>
      </c>
      <c r="F12" s="55" t="n">
        <v>1.25</v>
      </c>
    </row>
    <row r="13" ht="17" customHeight="1" s="39">
      <c r="A13" s="35" t="inlineStr">
        <is>
          <t>牛市·EBIT利润率</t>
        </is>
      </c>
      <c r="B13" s="59" t="n">
        <v>-0.6</v>
      </c>
      <c r="C13" s="59" t="n">
        <v>-0.15</v>
      </c>
      <c r="D13" s="59" t="n">
        <v>0.08</v>
      </c>
      <c r="E13" s="59" t="n">
        <v>0.2</v>
      </c>
      <c r="F13" s="59" t="n">
        <v>0.3</v>
      </c>
    </row>
    <row r="14" ht="17" customHeight="1" s="39">
      <c r="A14" s="41" t="inlineStr">
        <is>
          <t>▶ 选中·营收乘数</t>
        </is>
      </c>
      <c r="B14" s="60">
        <f>CHOOSE($B$4,B8,B10,B12)</f>
        <v/>
      </c>
      <c r="C14" s="60">
        <f>CHOOSE($B$4,C8,C10,C12)</f>
        <v/>
      </c>
      <c r="D14" s="60">
        <f>CHOOSE($B$4,D8,D10,D12)</f>
        <v/>
      </c>
      <c r="E14" s="60">
        <f>CHOOSE($B$4,E8,E10,E12)</f>
        <v/>
      </c>
      <c r="F14" s="60">
        <f>CHOOSE($B$4,F8,F10,F12)</f>
        <v/>
      </c>
    </row>
    <row r="15" ht="17" customHeight="1" s="39">
      <c r="A15" s="41" t="inlineStr">
        <is>
          <t>▶ 选中·EBIT利润率</t>
        </is>
      </c>
      <c r="B15" s="57">
        <f>CHOOSE($B$4,B9,B11,B13)</f>
        <v/>
      </c>
      <c r="C15" s="57">
        <f>CHOOSE($B$4,C9,C11,C13)</f>
        <v/>
      </c>
      <c r="D15" s="57">
        <f>CHOOSE($B$4,D9,D11,D13)</f>
        <v/>
      </c>
      <c r="E15" s="57">
        <f>CHOOSE($B$4,E9,E11,E13)</f>
        <v/>
      </c>
      <c r="F15" s="57">
        <f>CHOOSE($B$4,F9,F11,F13)</f>
        <v/>
      </c>
    </row>
    <row r="16"/>
    <row r="17">
      <c r="A17" s="32" t="inlineStr">
        <is>
          <t>二、收入与自由现金流（万元）</t>
        </is>
      </c>
      <c r="B17" s="33" t="n"/>
      <c r="C17" s="33" t="n"/>
      <c r="D17" s="33" t="n"/>
      <c r="E17" s="33" t="n"/>
      <c r="F17" s="33" t="n"/>
      <c r="G17" s="34" t="n"/>
    </row>
    <row r="18" ht="17" customHeight="1" s="39">
      <c r="A18" s="43" t="inlineStr">
        <is>
          <t>项目 \ 年份</t>
        </is>
      </c>
      <c r="B18" s="21" t="inlineStr">
        <is>
          <t>2027E</t>
        </is>
      </c>
      <c r="C18" s="21" t="inlineStr">
        <is>
          <t>2028E</t>
        </is>
      </c>
      <c r="D18" s="21" t="inlineStr">
        <is>
          <t>2029E</t>
        </is>
      </c>
      <c r="E18" s="21" t="inlineStr">
        <is>
          <t>2030E</t>
        </is>
      </c>
      <c r="F18" s="21" t="inlineStr">
        <is>
          <t>2031E</t>
        </is>
      </c>
    </row>
    <row r="19" ht="17" customHeight="1" s="39">
      <c r="A19" s="35" t="inlineStr">
        <is>
          <t>BP营收路径</t>
        </is>
      </c>
      <c r="B19" s="53" t="n">
        <v>350</v>
      </c>
      <c r="C19" s="53" t="n">
        <v>3000</v>
      </c>
      <c r="D19" s="53" t="n">
        <v>30000</v>
      </c>
      <c r="E19" s="53" t="n">
        <v>50000</v>
      </c>
      <c r="F19" s="53" t="n">
        <v>100000</v>
      </c>
    </row>
    <row r="20" ht="17" customHeight="1" s="39">
      <c r="A20" s="35" t="inlineStr">
        <is>
          <t>情景营收</t>
        </is>
      </c>
      <c r="B20" s="51">
        <f>B19*B14</f>
        <v/>
      </c>
      <c r="C20" s="51">
        <f>C19*C14</f>
        <v/>
      </c>
      <c r="D20" s="51">
        <f>D19*D14</f>
        <v/>
      </c>
      <c r="E20" s="51">
        <f>E19*E14</f>
        <v/>
      </c>
      <c r="F20" s="51">
        <f>F19*F14</f>
        <v/>
      </c>
    </row>
    <row r="21" ht="17" customHeight="1" s="39">
      <c r="A21" s="35" t="inlineStr">
        <is>
          <t xml:space="preserve">  营收增速</t>
        </is>
      </c>
      <c r="B21" s="9" t="inlineStr">
        <is>
          <t>n/a</t>
        </is>
      </c>
      <c r="C21" s="54">
        <f>C20/B20-1</f>
        <v/>
      </c>
      <c r="D21" s="54">
        <f>D20/C20-1</f>
        <v/>
      </c>
      <c r="E21" s="54">
        <f>E20/D20-1</f>
        <v/>
      </c>
      <c r="F21" s="54">
        <f>F20/E20-1</f>
        <v/>
      </c>
    </row>
    <row r="22" ht="17" customHeight="1" s="39">
      <c r="A22" s="35" t="inlineStr">
        <is>
          <t>EBIT利润率(选中)</t>
        </is>
      </c>
      <c r="B22" s="54">
        <f>B15</f>
        <v/>
      </c>
      <c r="C22" s="54">
        <f>C15</f>
        <v/>
      </c>
      <c r="D22" s="54">
        <f>D15</f>
        <v/>
      </c>
      <c r="E22" s="54">
        <f>E15</f>
        <v/>
      </c>
      <c r="F22" s="54">
        <f>F15</f>
        <v/>
      </c>
    </row>
    <row r="23" ht="17" customHeight="1" s="39">
      <c r="A23" s="35" t="inlineStr">
        <is>
          <t>EBIT</t>
        </is>
      </c>
      <c r="B23" s="51">
        <f>B20*B22</f>
        <v/>
      </c>
      <c r="C23" s="51">
        <f>C20*C22</f>
        <v/>
      </c>
      <c r="D23" s="51">
        <f>D20*D22</f>
        <v/>
      </c>
      <c r="E23" s="51">
        <f>E20*E22</f>
        <v/>
      </c>
      <c r="F23" s="51">
        <f>F20*F22</f>
        <v/>
      </c>
    </row>
    <row r="24" ht="17" customHeight="1" s="39">
      <c r="A24" s="35" t="inlineStr">
        <is>
          <t>所得税</t>
        </is>
      </c>
      <c r="B24" s="51">
        <f>-MAX(B23,0)*$B$33</f>
        <v/>
      </c>
      <c r="C24" s="51">
        <f>-MAX(C23,0)*$B$33</f>
        <v/>
      </c>
      <c r="D24" s="51">
        <f>-MAX(D23,0)*$B$33</f>
        <v/>
      </c>
      <c r="E24" s="51">
        <f>-MAX(E23,0)*$B$33</f>
        <v/>
      </c>
      <c r="F24" s="51">
        <f>-MAX(F23,0)*$B$33</f>
        <v/>
      </c>
    </row>
    <row r="25" ht="17" customHeight="1" s="39">
      <c r="A25" s="35" t="inlineStr">
        <is>
          <t>NOPAT</t>
        </is>
      </c>
      <c r="B25" s="51">
        <f>B23+B24</f>
        <v/>
      </c>
      <c r="C25" s="51">
        <f>C23+C24</f>
        <v/>
      </c>
      <c r="D25" s="51">
        <f>D23+D24</f>
        <v/>
      </c>
      <c r="E25" s="51">
        <f>E23+E24</f>
        <v/>
      </c>
      <c r="F25" s="51">
        <f>F23+F24</f>
        <v/>
      </c>
    </row>
    <row r="26" ht="17" customHeight="1" s="39">
      <c r="A26" s="35" t="inlineStr">
        <is>
          <t>(+) 折旧摊销</t>
        </is>
      </c>
      <c r="B26" s="51">
        <f>B20*$B$34</f>
        <v/>
      </c>
      <c r="C26" s="51">
        <f>C20*$B$34</f>
        <v/>
      </c>
      <c r="D26" s="51">
        <f>D20*$B$34</f>
        <v/>
      </c>
      <c r="E26" s="51">
        <f>E20*$B$34</f>
        <v/>
      </c>
      <c r="F26" s="51">
        <f>F20*$B$34</f>
        <v/>
      </c>
    </row>
    <row r="27" ht="17" customHeight="1" s="39">
      <c r="A27" s="35" t="inlineStr">
        <is>
          <t>(-) 资本开支</t>
        </is>
      </c>
      <c r="B27" s="51">
        <f>B20*$B$35</f>
        <v/>
      </c>
      <c r="C27" s="51">
        <f>C20*$B$35</f>
        <v/>
      </c>
      <c r="D27" s="51">
        <f>D20*$B$35</f>
        <v/>
      </c>
      <c r="E27" s="51">
        <f>E20*$B$35</f>
        <v/>
      </c>
      <c r="F27" s="51">
        <f>F20*$B$35</f>
        <v/>
      </c>
    </row>
    <row r="28" ht="17" customHeight="1" s="39">
      <c r="A28" s="35" t="inlineStr">
        <is>
          <t>(-) 营运资金增加</t>
        </is>
      </c>
      <c r="B28" s="51">
        <f>B20*$B$36</f>
        <v/>
      </c>
      <c r="C28" s="51">
        <f>(C20-B20)*$B$36</f>
        <v/>
      </c>
      <c r="D28" s="51">
        <f>(D20-C20)*$B$36</f>
        <v/>
      </c>
      <c r="E28" s="51">
        <f>(E20-D20)*$B$36</f>
        <v/>
      </c>
      <c r="F28" s="51">
        <f>(F20-E20)*$B$36</f>
        <v/>
      </c>
    </row>
    <row r="29" ht="17" customHeight="1" s="39">
      <c r="A29" s="41" t="inlineStr">
        <is>
          <t>无杠杆自由现金流 UFCF</t>
        </is>
      </c>
      <c r="B29" s="52">
        <f>B25+B26-B27-B28</f>
        <v/>
      </c>
      <c r="C29" s="52">
        <f>C25+C26-C27-C28</f>
        <v/>
      </c>
      <c r="D29" s="52">
        <f>D25+D26-D27-D28</f>
        <v/>
      </c>
      <c r="E29" s="52">
        <f>E25+E26-E27-E28</f>
        <v/>
      </c>
      <c r="F29" s="52">
        <f>F25+F26-F27-F28</f>
        <v/>
      </c>
    </row>
    <row r="30"/>
    <row r="31">
      <c r="A31" s="32" t="inlineStr">
        <is>
          <t>三、DCF 参数（估值假设）</t>
        </is>
      </c>
      <c r="B31" s="33" t="n"/>
      <c r="C31" s="33" t="n"/>
      <c r="D31" s="33" t="n"/>
      <c r="E31" s="33" t="n"/>
      <c r="F31" s="33" t="n"/>
      <c r="G31" s="34" t="n"/>
    </row>
    <row r="32" ht="24" customHeight="1" s="39">
      <c r="A32" s="35" t="inlineStr">
        <is>
          <t>WACC (一级市场,含创业风险)</t>
        </is>
      </c>
      <c r="B32" s="57">
        <f>CHOOSE($B$4,0.22,0.18,0.15)</f>
        <v/>
      </c>
      <c r="C32" s="44" t="inlineStr">
        <is>
          <t>熊22%/基准18%/牛15%</t>
        </is>
      </c>
    </row>
    <row r="33" ht="17" customHeight="1" s="39">
      <c r="A33" s="35" t="inlineStr">
        <is>
          <t>所得税率</t>
        </is>
      </c>
      <c r="B33" s="59" t="n">
        <v>0.15</v>
      </c>
    </row>
    <row r="34" ht="17" customHeight="1" s="39">
      <c r="A34" s="35" t="inlineStr">
        <is>
          <t>折旧摊销 %营收</t>
        </is>
      </c>
      <c r="B34" s="59" t="n">
        <v>0.08</v>
      </c>
    </row>
    <row r="35" ht="17" customHeight="1" s="39">
      <c r="A35" s="35" t="inlineStr">
        <is>
          <t>资本开支 %营收</t>
        </is>
      </c>
      <c r="B35" s="59" t="n">
        <v>0.12</v>
      </c>
    </row>
    <row r="36" ht="17" customHeight="1" s="39">
      <c r="A36" s="35" t="inlineStr">
        <is>
          <t>营运资金增加 %营收增量</t>
        </is>
      </c>
      <c r="B36" s="59" t="n">
        <v>0.15</v>
      </c>
    </row>
    <row r="37" ht="24" customHeight="1" s="39">
      <c r="A37" s="35" t="inlineStr">
        <is>
          <t>永续增长率 g</t>
        </is>
      </c>
      <c r="B37" s="57">
        <f>CHOOSE($B$4,0.02,0.03,0.04)</f>
        <v/>
      </c>
      <c r="C37" s="44" t="inlineStr">
        <is>
          <t>熊2%/基准3%/牛4%</t>
        </is>
      </c>
    </row>
    <row r="38" ht="17" customHeight="1" s="39">
      <c r="A38" s="35" t="inlineStr">
        <is>
          <t>净债务（万元）</t>
        </is>
      </c>
      <c r="B38" s="53" t="n">
        <v>0</v>
      </c>
    </row>
    <row r="39"/>
    <row r="40">
      <c r="A40" s="32" t="inlineStr">
        <is>
          <t>四、折现与企业价值（年中折现）</t>
        </is>
      </c>
      <c r="B40" s="33" t="n"/>
      <c r="C40" s="33" t="n"/>
      <c r="D40" s="33" t="n"/>
      <c r="E40" s="33" t="n"/>
      <c r="F40" s="33" t="n"/>
      <c r="G40" s="34" t="n"/>
    </row>
    <row r="41" ht="17" customHeight="1" s="39">
      <c r="A41" s="43" t="inlineStr">
        <is>
          <t>项目 \ 年份</t>
        </is>
      </c>
      <c r="B41" s="21" t="inlineStr">
        <is>
          <t>2027E</t>
        </is>
      </c>
      <c r="C41" s="21" t="inlineStr">
        <is>
          <t>2028E</t>
        </is>
      </c>
      <c r="D41" s="21" t="inlineStr">
        <is>
          <t>2029E</t>
        </is>
      </c>
      <c r="E41" s="21" t="inlineStr">
        <is>
          <t>2030E</t>
        </is>
      </c>
      <c r="F41" s="21" t="inlineStr">
        <is>
          <t>2031E</t>
        </is>
      </c>
      <c r="G41" s="14" t="inlineStr">
        <is>
          <t>终值</t>
        </is>
      </c>
    </row>
    <row r="42" ht="17" customHeight="1" s="39">
      <c r="A42" s="35" t="inlineStr">
        <is>
          <t>UFCF</t>
        </is>
      </c>
      <c r="B42" s="51">
        <f>B29</f>
        <v/>
      </c>
      <c r="C42" s="51">
        <f>C29</f>
        <v/>
      </c>
      <c r="D42" s="51">
        <f>D29</f>
        <v/>
      </c>
      <c r="E42" s="51">
        <f>E29</f>
        <v/>
      </c>
      <c r="F42" s="51">
        <f>F29</f>
        <v/>
      </c>
    </row>
    <row r="43" ht="17" customHeight="1" s="39">
      <c r="A43" s="35" t="inlineStr">
        <is>
          <t>折现期(年中)</t>
        </is>
      </c>
      <c r="B43" s="61" t="n">
        <v>0.5</v>
      </c>
      <c r="C43" s="61" t="n">
        <v>1.5</v>
      </c>
      <c r="D43" s="61" t="n">
        <v>2.5</v>
      </c>
      <c r="E43" s="61" t="n">
        <v>3.5</v>
      </c>
      <c r="F43" s="61" t="n">
        <v>4.5</v>
      </c>
    </row>
    <row r="44" ht="17" customHeight="1" s="39">
      <c r="A44" s="35" t="inlineStr">
        <is>
          <t>折现因子</t>
        </is>
      </c>
      <c r="B44" s="62">
        <f>1/(1+$B$32)^B43</f>
        <v/>
      </c>
      <c r="C44" s="62">
        <f>1/(1+$B$32)^C43</f>
        <v/>
      </c>
      <c r="D44" s="62">
        <f>1/(1+$B$32)^D43</f>
        <v/>
      </c>
      <c r="E44" s="62">
        <f>1/(1+$B$32)^E43</f>
        <v/>
      </c>
      <c r="F44" s="62">
        <f>1/(1+$B$32)^F43</f>
        <v/>
      </c>
    </row>
    <row r="45" ht="17" customHeight="1" s="39">
      <c r="A45" s="35" t="inlineStr">
        <is>
          <t>UFCF现值</t>
        </is>
      </c>
      <c r="B45" s="51">
        <f>B42*B44</f>
        <v/>
      </c>
      <c r="C45" s="51">
        <f>C42*C44</f>
        <v/>
      </c>
      <c r="D45" s="51">
        <f>D42*D44</f>
        <v/>
      </c>
      <c r="E45" s="51">
        <f>E42*E44</f>
        <v/>
      </c>
      <c r="F45" s="51">
        <f>F42*F44</f>
        <v/>
      </c>
    </row>
    <row r="46"/>
    <row r="47" ht="17" customHeight="1" s="39">
      <c r="A47" s="35" t="inlineStr">
        <is>
          <t>终值 TV = FCF×(1+g)/(WACC-g)</t>
        </is>
      </c>
      <c r="G47" s="51">
        <f>F29*(1+$B$37)/($B$32-$B$37)</f>
        <v/>
      </c>
    </row>
    <row r="48" ht="17" customHeight="1" s="39">
      <c r="A48" s="35" t="inlineStr">
        <is>
          <t>终值折现期</t>
        </is>
      </c>
      <c r="G48" s="63">
        <f>F43</f>
        <v/>
      </c>
    </row>
    <row r="49" ht="17" customHeight="1" s="39">
      <c r="A49" s="35" t="inlineStr">
        <is>
          <t>终值现值 PV(TV)</t>
        </is>
      </c>
      <c r="G49" s="51">
        <f>G47/(1+$B$32)^G48</f>
        <v/>
      </c>
    </row>
    <row r="50"/>
    <row r="51">
      <c r="A51" s="32" t="inlineStr">
        <is>
          <t>五、企业价值与股权价值桥</t>
        </is>
      </c>
      <c r="B51" s="33" t="n"/>
      <c r="C51" s="33" t="n"/>
      <c r="D51" s="33" t="n"/>
      <c r="E51" s="33" t="n"/>
      <c r="F51" s="33" t="n"/>
      <c r="G51" s="34" t="n"/>
    </row>
    <row r="52" ht="17" customHeight="1" s="39">
      <c r="A52" s="35" t="inlineStr">
        <is>
          <t>预测期UFCF现值合计</t>
        </is>
      </c>
      <c r="B52" s="51">
        <f>SUM(B45:F45)</f>
        <v/>
      </c>
    </row>
    <row r="53" ht="17" customHeight="1" s="39">
      <c r="A53" s="35" t="inlineStr">
        <is>
          <t>终值现值</t>
        </is>
      </c>
      <c r="B53" s="51">
        <f>G49</f>
        <v/>
      </c>
    </row>
    <row r="54" ht="17" customHeight="1" s="39">
      <c r="A54" s="41" t="inlineStr">
        <is>
          <t>企业价值 EV</t>
        </is>
      </c>
      <c r="B54" s="52">
        <f>B52+B53</f>
        <v/>
      </c>
    </row>
    <row r="55" ht="17" customHeight="1" s="39">
      <c r="A55" s="35" t="inlineStr">
        <is>
          <t>(-) 净债务</t>
        </is>
      </c>
      <c r="B55" s="51">
        <f>B38</f>
        <v/>
      </c>
    </row>
    <row r="56" ht="17" customHeight="1" s="39">
      <c r="A56" s="41" t="inlineStr">
        <is>
          <t>股权价值（投后近似）</t>
        </is>
      </c>
      <c r="B56" s="52">
        <f>B54-B55</f>
        <v/>
      </c>
    </row>
    <row r="57" ht="17" customHeight="1" s="39">
      <c r="A57" s="35" t="inlineStr">
        <is>
          <t>(-) 本轮投资额</t>
        </is>
      </c>
      <c r="B57" s="53" t="n">
        <v>4500</v>
      </c>
    </row>
    <row r="58" ht="17" customHeight="1" s="39">
      <c r="A58" s="41" t="inlineStr">
        <is>
          <t>DCF 隐含投前估值（万元）</t>
        </is>
      </c>
      <c r="B58" s="52">
        <f>B56-B57</f>
        <v/>
      </c>
    </row>
    <row r="59" ht="17" customHeight="1" s="39">
      <c r="A59" s="35" t="inlineStr">
        <is>
          <t>终值占EV比重</t>
        </is>
      </c>
      <c r="B59" s="54">
        <f>B53/B54</f>
        <v/>
      </c>
    </row>
    <row r="60">
      <c r="A60" s="38" t="inlineStr">
        <is>
          <t>注：早期项目终值占比通常偏高(&gt;85%),说明价值高度依赖2031年后长期盈利,DCF仅作内在价值参照,不进入主加权。</t>
        </is>
      </c>
    </row>
    <row r="61"/>
  </sheetData>
  <mergeCells count="8">
    <mergeCell ref="A1:G1"/>
    <mergeCell ref="A40:G40"/>
    <mergeCell ref="A17:G17"/>
    <mergeCell ref="A31:G31"/>
    <mergeCell ref="A6:G6"/>
    <mergeCell ref="A60:G61"/>
    <mergeCell ref="A2:G2"/>
    <mergeCell ref="A51:G5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10" defaultColWidth="8.83203125" defaultRowHeight="14"/>
  <cols>
    <col width="22" customWidth="1" style="39" min="1" max="1"/>
    <col width="14" customWidth="1" style="39" min="2" max="7"/>
  </cols>
  <sheetData>
    <row r="1">
      <c r="A1" s="40" t="inlineStr">
        <is>
          <t>敏感性分析</t>
        </is>
      </c>
    </row>
    <row r="2"/>
    <row r="3">
      <c r="A3" s="32" t="inlineStr">
        <is>
          <t>表1：VC Method 投前估值（万元）= f(目标MOIC × 可比PS倍数)</t>
        </is>
      </c>
      <c r="B3" s="33" t="n"/>
      <c r="C3" s="33" t="n"/>
      <c r="D3" s="33" t="n"/>
      <c r="E3" s="33" t="n"/>
      <c r="F3" s="33" t="n"/>
      <c r="G3" s="34" t="n"/>
    </row>
    <row r="4" ht="34" customHeight="1" s="39">
      <c r="A4" s="14" t="inlineStr">
        <is>
          <t>行=MOIC ↓ / 列=可比PS →</t>
        </is>
      </c>
      <c r="B4" s="64" t="n">
        <v>6</v>
      </c>
      <c r="C4" s="64" t="n">
        <v>7</v>
      </c>
      <c r="D4" s="64" t="n">
        <v>8</v>
      </c>
      <c r="E4" s="64" t="n">
        <v>9</v>
      </c>
      <c r="F4" s="64" t="n">
        <v>10</v>
      </c>
    </row>
    <row r="5" ht="17" customHeight="1" s="39">
      <c r="A5" s="64" t="n">
        <v>6</v>
      </c>
      <c r="B5" s="51">
        <f>'VC Method'!B5/((('VC Method'!B5*$A5)/('VC Method'!B7*'VC Method'!B13*(B$4*'VC Method'!B14)*'VC Method'!B16+'VC Method'!B7*'VC Method'!C13*(B$4*'VC Method'!C14)*'VC Method'!C16+'VC Method'!B7*'VC Method'!D13*(B$4*'VC Method'!D14)*'VC Method'!D16))/(1-('VC Method'!B15*'VC Method'!B16+'VC Method'!C15*'VC Method'!C16+'VC Method'!D15*'VC Method'!D16)))-'VC Method'!B5</f>
        <v/>
      </c>
      <c r="C5" s="51">
        <f>'VC Method'!B5/((('VC Method'!B5*$A5)/('VC Method'!B7*'VC Method'!B13*(C$4*'VC Method'!B14)*'VC Method'!B16+'VC Method'!B7*'VC Method'!C13*(C$4*'VC Method'!C14)*'VC Method'!C16+'VC Method'!B7*'VC Method'!D13*(C$4*'VC Method'!D14)*'VC Method'!D16))/(1-('VC Method'!B15*'VC Method'!B16+'VC Method'!C15*'VC Method'!C16+'VC Method'!D15*'VC Method'!D16)))-'VC Method'!B5</f>
        <v/>
      </c>
      <c r="D5" s="51">
        <f>'VC Method'!B5/((('VC Method'!B5*$A5)/('VC Method'!B7*'VC Method'!B13*(D$4*'VC Method'!B14)*'VC Method'!B16+'VC Method'!B7*'VC Method'!C13*(D$4*'VC Method'!C14)*'VC Method'!C16+'VC Method'!B7*'VC Method'!D13*(D$4*'VC Method'!D14)*'VC Method'!D16))/(1-('VC Method'!B15*'VC Method'!B16+'VC Method'!C15*'VC Method'!C16+'VC Method'!D15*'VC Method'!D16)))-'VC Method'!B5</f>
        <v/>
      </c>
      <c r="E5" s="51">
        <f>'VC Method'!B5/((('VC Method'!B5*$A5)/('VC Method'!B7*'VC Method'!B13*(E$4*'VC Method'!B14)*'VC Method'!B16+'VC Method'!B7*'VC Method'!C13*(E$4*'VC Method'!C14)*'VC Method'!C16+'VC Method'!B7*'VC Method'!D13*(E$4*'VC Method'!D14)*'VC Method'!D16))/(1-('VC Method'!B15*'VC Method'!B16+'VC Method'!C15*'VC Method'!C16+'VC Method'!D15*'VC Method'!D16)))-'VC Method'!B5</f>
        <v/>
      </c>
      <c r="F5" s="51">
        <f>'VC Method'!B5/((('VC Method'!B5*$A5)/('VC Method'!B7*'VC Method'!B13*(F$4*'VC Method'!B14)*'VC Method'!B16+'VC Method'!B7*'VC Method'!C13*(F$4*'VC Method'!C14)*'VC Method'!C16+'VC Method'!B7*'VC Method'!D13*(F$4*'VC Method'!D14)*'VC Method'!D16))/(1-('VC Method'!B15*'VC Method'!B16+'VC Method'!C15*'VC Method'!C16+'VC Method'!D15*'VC Method'!D16)))-'VC Method'!B5</f>
        <v/>
      </c>
    </row>
    <row r="6" ht="17" customHeight="1" s="39">
      <c r="A6" s="64" t="n">
        <v>7</v>
      </c>
      <c r="B6" s="51">
        <f>'VC Method'!B5/((('VC Method'!B5*$A6)/('VC Method'!B7*'VC Method'!B13*(B$4*'VC Method'!B14)*'VC Method'!B16+'VC Method'!B7*'VC Method'!C13*(B$4*'VC Method'!C14)*'VC Method'!C16+'VC Method'!B7*'VC Method'!D13*(B$4*'VC Method'!D14)*'VC Method'!D16))/(1-('VC Method'!B15*'VC Method'!B16+'VC Method'!C15*'VC Method'!C16+'VC Method'!D15*'VC Method'!D16)))-'VC Method'!B5</f>
        <v/>
      </c>
      <c r="C6" s="51">
        <f>'VC Method'!B5/((('VC Method'!B5*$A6)/('VC Method'!B7*'VC Method'!B13*(C$4*'VC Method'!B14)*'VC Method'!B16+'VC Method'!B7*'VC Method'!C13*(C$4*'VC Method'!C14)*'VC Method'!C16+'VC Method'!B7*'VC Method'!D13*(C$4*'VC Method'!D14)*'VC Method'!D16))/(1-('VC Method'!B15*'VC Method'!B16+'VC Method'!C15*'VC Method'!C16+'VC Method'!D15*'VC Method'!D16)))-'VC Method'!B5</f>
        <v/>
      </c>
      <c r="D6" s="51">
        <f>'VC Method'!B5/((('VC Method'!B5*$A6)/('VC Method'!B7*'VC Method'!B13*(D$4*'VC Method'!B14)*'VC Method'!B16+'VC Method'!B7*'VC Method'!C13*(D$4*'VC Method'!C14)*'VC Method'!C16+'VC Method'!B7*'VC Method'!D13*(D$4*'VC Method'!D14)*'VC Method'!D16))/(1-('VC Method'!B15*'VC Method'!B16+'VC Method'!C15*'VC Method'!C16+'VC Method'!D15*'VC Method'!D16)))-'VC Method'!B5</f>
        <v/>
      </c>
      <c r="E6" s="51">
        <f>'VC Method'!B5/((('VC Method'!B5*$A6)/('VC Method'!B7*'VC Method'!B13*(E$4*'VC Method'!B14)*'VC Method'!B16+'VC Method'!B7*'VC Method'!C13*(E$4*'VC Method'!C14)*'VC Method'!C16+'VC Method'!B7*'VC Method'!D13*(E$4*'VC Method'!D14)*'VC Method'!D16))/(1-('VC Method'!B15*'VC Method'!B16+'VC Method'!C15*'VC Method'!C16+'VC Method'!D15*'VC Method'!D16)))-'VC Method'!B5</f>
        <v/>
      </c>
      <c r="F6" s="51">
        <f>'VC Method'!B5/((('VC Method'!B5*$A6)/('VC Method'!B7*'VC Method'!B13*(F$4*'VC Method'!B14)*'VC Method'!B16+'VC Method'!B7*'VC Method'!C13*(F$4*'VC Method'!C14)*'VC Method'!C16+'VC Method'!B7*'VC Method'!D13*(F$4*'VC Method'!D14)*'VC Method'!D16))/(1-('VC Method'!B15*'VC Method'!B16+'VC Method'!C15*'VC Method'!C16+'VC Method'!D15*'VC Method'!D16)))-'VC Method'!B5</f>
        <v/>
      </c>
    </row>
    <row r="7" ht="17" customHeight="1" s="39">
      <c r="A7" s="64" t="n">
        <v>8</v>
      </c>
      <c r="B7" s="51">
        <f>'VC Method'!B5/((('VC Method'!B5*$A7)/('VC Method'!B7*'VC Method'!B13*(B$4*'VC Method'!B14)*'VC Method'!B16+'VC Method'!B7*'VC Method'!C13*(B$4*'VC Method'!C14)*'VC Method'!C16+'VC Method'!B7*'VC Method'!D13*(B$4*'VC Method'!D14)*'VC Method'!D16))/(1-('VC Method'!B15*'VC Method'!B16+'VC Method'!C15*'VC Method'!C16+'VC Method'!D15*'VC Method'!D16)))-'VC Method'!B5</f>
        <v/>
      </c>
      <c r="C7" s="51">
        <f>'VC Method'!B5/((('VC Method'!B5*$A7)/('VC Method'!B7*'VC Method'!B13*(C$4*'VC Method'!B14)*'VC Method'!B16+'VC Method'!B7*'VC Method'!C13*(C$4*'VC Method'!C14)*'VC Method'!C16+'VC Method'!B7*'VC Method'!D13*(C$4*'VC Method'!D14)*'VC Method'!D16))/(1-('VC Method'!B15*'VC Method'!B16+'VC Method'!C15*'VC Method'!C16+'VC Method'!D15*'VC Method'!D16)))-'VC Method'!B5</f>
        <v/>
      </c>
      <c r="D7" s="65">
        <f>'VC Method'!B5/((('VC Method'!B5*$A7)/('VC Method'!B7*'VC Method'!B13*(D$4*'VC Method'!B14)*'VC Method'!B16+'VC Method'!B7*'VC Method'!C13*(D$4*'VC Method'!C14)*'VC Method'!C16+'VC Method'!B7*'VC Method'!D13*(D$4*'VC Method'!D14)*'VC Method'!D16))/(1-('VC Method'!B15*'VC Method'!B16+'VC Method'!C15*'VC Method'!C16+'VC Method'!D15*'VC Method'!D16)))-'VC Method'!B5</f>
        <v/>
      </c>
      <c r="E7" s="51">
        <f>'VC Method'!B5/((('VC Method'!B5*$A7)/('VC Method'!B7*'VC Method'!B13*(E$4*'VC Method'!B14)*'VC Method'!B16+'VC Method'!B7*'VC Method'!C13*(E$4*'VC Method'!C14)*'VC Method'!C16+'VC Method'!B7*'VC Method'!D13*(E$4*'VC Method'!D14)*'VC Method'!D16))/(1-('VC Method'!B15*'VC Method'!B16+'VC Method'!C15*'VC Method'!C16+'VC Method'!D15*'VC Method'!D16)))-'VC Method'!B5</f>
        <v/>
      </c>
      <c r="F7" s="51">
        <f>'VC Method'!B5/((('VC Method'!B5*$A7)/('VC Method'!B7*'VC Method'!B13*(F$4*'VC Method'!B14)*'VC Method'!B16+'VC Method'!B7*'VC Method'!C13*(F$4*'VC Method'!C14)*'VC Method'!C16+'VC Method'!B7*'VC Method'!D13*(F$4*'VC Method'!D14)*'VC Method'!D16))/(1-('VC Method'!B15*'VC Method'!B16+'VC Method'!C15*'VC Method'!C16+'VC Method'!D15*'VC Method'!D16)))-'VC Method'!B5</f>
        <v/>
      </c>
    </row>
    <row r="8" ht="17" customHeight="1" s="39">
      <c r="A8" s="64" t="n">
        <v>9</v>
      </c>
      <c r="B8" s="51">
        <f>'VC Method'!B5/((('VC Method'!B5*$A8)/('VC Method'!B7*'VC Method'!B13*(B$4*'VC Method'!B14)*'VC Method'!B16+'VC Method'!B7*'VC Method'!C13*(B$4*'VC Method'!C14)*'VC Method'!C16+'VC Method'!B7*'VC Method'!D13*(B$4*'VC Method'!D14)*'VC Method'!D16))/(1-('VC Method'!B15*'VC Method'!B16+'VC Method'!C15*'VC Method'!C16+'VC Method'!D15*'VC Method'!D16)))-'VC Method'!B5</f>
        <v/>
      </c>
      <c r="C8" s="51">
        <f>'VC Method'!B5/((('VC Method'!B5*$A8)/('VC Method'!B7*'VC Method'!B13*(C$4*'VC Method'!B14)*'VC Method'!B16+'VC Method'!B7*'VC Method'!C13*(C$4*'VC Method'!C14)*'VC Method'!C16+'VC Method'!B7*'VC Method'!D13*(C$4*'VC Method'!D14)*'VC Method'!D16))/(1-('VC Method'!B15*'VC Method'!B16+'VC Method'!C15*'VC Method'!C16+'VC Method'!D15*'VC Method'!D16)))-'VC Method'!B5</f>
        <v/>
      </c>
      <c r="D8" s="51">
        <f>'VC Method'!B5/((('VC Method'!B5*$A8)/('VC Method'!B7*'VC Method'!B13*(D$4*'VC Method'!B14)*'VC Method'!B16+'VC Method'!B7*'VC Method'!C13*(D$4*'VC Method'!C14)*'VC Method'!C16+'VC Method'!B7*'VC Method'!D13*(D$4*'VC Method'!D14)*'VC Method'!D16))/(1-('VC Method'!B15*'VC Method'!B16+'VC Method'!C15*'VC Method'!C16+'VC Method'!D15*'VC Method'!D16)))-'VC Method'!B5</f>
        <v/>
      </c>
      <c r="E8" s="51">
        <f>'VC Method'!B5/((('VC Method'!B5*$A8)/('VC Method'!B7*'VC Method'!B13*(E$4*'VC Method'!B14)*'VC Method'!B16+'VC Method'!B7*'VC Method'!C13*(E$4*'VC Method'!C14)*'VC Method'!C16+'VC Method'!B7*'VC Method'!D13*(E$4*'VC Method'!D14)*'VC Method'!D16))/(1-('VC Method'!B15*'VC Method'!B16+'VC Method'!C15*'VC Method'!C16+'VC Method'!D15*'VC Method'!D16)))-'VC Method'!B5</f>
        <v/>
      </c>
      <c r="F8" s="51">
        <f>'VC Method'!B5/((('VC Method'!B5*$A8)/('VC Method'!B7*'VC Method'!B13*(F$4*'VC Method'!B14)*'VC Method'!B16+'VC Method'!B7*'VC Method'!C13*(F$4*'VC Method'!C14)*'VC Method'!C16+'VC Method'!B7*'VC Method'!D13*(F$4*'VC Method'!D14)*'VC Method'!D16))/(1-('VC Method'!B15*'VC Method'!B16+'VC Method'!C15*'VC Method'!C16+'VC Method'!D15*'VC Method'!D16)))-'VC Method'!B5</f>
        <v/>
      </c>
    </row>
    <row r="9" ht="17" customHeight="1" s="39">
      <c r="A9" s="64" t="n">
        <v>10</v>
      </c>
      <c r="B9" s="51">
        <f>'VC Method'!B5/((('VC Method'!B5*$A9)/('VC Method'!B7*'VC Method'!B13*(B$4*'VC Method'!B14)*'VC Method'!B16+'VC Method'!B7*'VC Method'!C13*(B$4*'VC Method'!C14)*'VC Method'!C16+'VC Method'!B7*'VC Method'!D13*(B$4*'VC Method'!D14)*'VC Method'!D16))/(1-('VC Method'!B15*'VC Method'!B16+'VC Method'!C15*'VC Method'!C16+'VC Method'!D15*'VC Method'!D16)))-'VC Method'!B5</f>
        <v/>
      </c>
      <c r="C9" s="51">
        <f>'VC Method'!B5/((('VC Method'!B5*$A9)/('VC Method'!B7*'VC Method'!B13*(C$4*'VC Method'!B14)*'VC Method'!B16+'VC Method'!B7*'VC Method'!C13*(C$4*'VC Method'!C14)*'VC Method'!C16+'VC Method'!B7*'VC Method'!D13*(C$4*'VC Method'!D14)*'VC Method'!D16))/(1-('VC Method'!B15*'VC Method'!B16+'VC Method'!C15*'VC Method'!C16+'VC Method'!D15*'VC Method'!D16)))-'VC Method'!B5</f>
        <v/>
      </c>
      <c r="D9" s="51">
        <f>'VC Method'!B5/((('VC Method'!B5*$A9)/('VC Method'!B7*'VC Method'!B13*(D$4*'VC Method'!B14)*'VC Method'!B16+'VC Method'!B7*'VC Method'!C13*(D$4*'VC Method'!C14)*'VC Method'!C16+'VC Method'!B7*'VC Method'!D13*(D$4*'VC Method'!D14)*'VC Method'!D16))/(1-('VC Method'!B15*'VC Method'!B16+'VC Method'!C15*'VC Method'!C16+'VC Method'!D15*'VC Method'!D16)))-'VC Method'!B5</f>
        <v/>
      </c>
      <c r="E9" s="51">
        <f>'VC Method'!B5/((('VC Method'!B5*$A9)/('VC Method'!B7*'VC Method'!B13*(E$4*'VC Method'!B14)*'VC Method'!B16+'VC Method'!B7*'VC Method'!C13*(E$4*'VC Method'!C14)*'VC Method'!C16+'VC Method'!B7*'VC Method'!D13*(E$4*'VC Method'!D14)*'VC Method'!D16))/(1-('VC Method'!B15*'VC Method'!B16+'VC Method'!C15*'VC Method'!C16+'VC Method'!D15*'VC Method'!D16)))-'VC Method'!B5</f>
        <v/>
      </c>
      <c r="F9" s="51">
        <f>'VC Method'!B5/((('VC Method'!B5*$A9)/('VC Method'!B7*'VC Method'!B13*(F$4*'VC Method'!B14)*'VC Method'!B16+'VC Method'!B7*'VC Method'!C13*(F$4*'VC Method'!C14)*'VC Method'!C16+'VC Method'!B7*'VC Method'!D13*(F$4*'VC Method'!D14)*'VC Method'!D16))/(1-('VC Method'!B15*'VC Method'!B16+'VC Method'!C15*'VC Method'!C16+'VC Method'!D15*'VC Method'!D16)))-'VC Method'!B5</f>
        <v/>
      </c>
    </row>
    <row r="10"/>
    <row r="11">
      <c r="A11" s="38" t="inlineStr">
        <is>
          <t>中心(MOIC 8x, PS 8x)应≈VC Method主表概率加权投前估值。</t>
        </is>
      </c>
    </row>
    <row r="12"/>
    <row r="13">
      <c r="A13" s="32" t="inlineStr">
        <is>
          <t>表2：DCF 投前估值（万元，基准情景）= f(WACC × 永续增长率g)</t>
        </is>
      </c>
      <c r="B13" s="33" t="n"/>
      <c r="C13" s="33" t="n"/>
      <c r="D13" s="33" t="n"/>
      <c r="E13" s="33" t="n"/>
      <c r="F13" s="33" t="n"/>
      <c r="G13" s="34" t="n"/>
    </row>
    <row r="14" ht="17" customHeight="1" s="39">
      <c r="A14" s="14" t="inlineStr">
        <is>
          <t>行=WACC ↓ / 列=g →</t>
        </is>
      </c>
      <c r="B14" s="66" t="n">
        <v>0.01</v>
      </c>
      <c r="C14" s="66" t="n">
        <v>0.02</v>
      </c>
      <c r="D14" s="66" t="n">
        <v>0.03</v>
      </c>
      <c r="E14" s="66" t="n">
        <v>0.04</v>
      </c>
      <c r="F14" s="66" t="n">
        <v>0.05</v>
      </c>
    </row>
    <row r="15" ht="17" customHeight="1" s="39">
      <c r="A15" s="66" t="n">
        <v>0.14</v>
      </c>
      <c r="B15" s="51">
        <f>(DCF!B29/(1+$A15)^DCF!B43+DCF!C29/(1+$A15)^DCF!C43+DCF!D29/(1+$A15)^DCF!D43+DCF!E29/(1+$A15)^DCF!E43+DCF!F29/(1+$A15)^DCF!F43+DCF!F29*(1+B$14)/($A15-B$14)/(1+$A15)^DCF!F43)-DCF!B38-DCF!B57</f>
        <v/>
      </c>
      <c r="C15" s="51">
        <f>(DCF!B29/(1+$A15)^DCF!B43+DCF!C29/(1+$A15)^DCF!C43+DCF!D29/(1+$A15)^DCF!D43+DCF!E29/(1+$A15)^DCF!E43+DCF!F29/(1+$A15)^DCF!F43+DCF!F29*(1+C$14)/($A15-C$14)/(1+$A15)^DCF!F43)-DCF!B38-DCF!B57</f>
        <v/>
      </c>
      <c r="D15" s="51">
        <f>(DCF!B29/(1+$A15)^DCF!B43+DCF!C29/(1+$A15)^DCF!C43+DCF!D29/(1+$A15)^DCF!D43+DCF!E29/(1+$A15)^DCF!E43+DCF!F29/(1+$A15)^DCF!F43+DCF!F29*(1+D$14)/($A15-D$14)/(1+$A15)^DCF!F43)-DCF!B38-DCF!B57</f>
        <v/>
      </c>
      <c r="E15" s="51">
        <f>(DCF!B29/(1+$A15)^DCF!B43+DCF!C29/(1+$A15)^DCF!C43+DCF!D29/(1+$A15)^DCF!D43+DCF!E29/(1+$A15)^DCF!E43+DCF!F29/(1+$A15)^DCF!F43+DCF!F29*(1+E$14)/($A15-E$14)/(1+$A15)^DCF!F43)-DCF!B38-DCF!B57</f>
        <v/>
      </c>
      <c r="F15" s="51">
        <f>(DCF!B29/(1+$A15)^DCF!B43+DCF!C29/(1+$A15)^DCF!C43+DCF!D29/(1+$A15)^DCF!D43+DCF!E29/(1+$A15)^DCF!E43+DCF!F29/(1+$A15)^DCF!F43+DCF!F29*(1+F$14)/($A15-F$14)/(1+$A15)^DCF!F43)-DCF!B38-DCF!B57</f>
        <v/>
      </c>
    </row>
    <row r="16" ht="17" customHeight="1" s="39">
      <c r="A16" s="66" t="n">
        <v>0.16</v>
      </c>
      <c r="B16" s="51">
        <f>(DCF!B29/(1+$A16)^DCF!B43+DCF!C29/(1+$A16)^DCF!C43+DCF!D29/(1+$A16)^DCF!D43+DCF!E29/(1+$A16)^DCF!E43+DCF!F29/(1+$A16)^DCF!F43+DCF!F29*(1+B$14)/($A16-B$14)/(1+$A16)^DCF!F43)-DCF!B38-DCF!B57</f>
        <v/>
      </c>
      <c r="C16" s="51">
        <f>(DCF!B29/(1+$A16)^DCF!B43+DCF!C29/(1+$A16)^DCF!C43+DCF!D29/(1+$A16)^DCF!D43+DCF!E29/(1+$A16)^DCF!E43+DCF!F29/(1+$A16)^DCF!F43+DCF!F29*(1+C$14)/($A16-C$14)/(1+$A16)^DCF!F43)-DCF!B38-DCF!B57</f>
        <v/>
      </c>
      <c r="D16" s="51">
        <f>(DCF!B29/(1+$A16)^DCF!B43+DCF!C29/(1+$A16)^DCF!C43+DCF!D29/(1+$A16)^DCF!D43+DCF!E29/(1+$A16)^DCF!E43+DCF!F29/(1+$A16)^DCF!F43+DCF!F29*(1+D$14)/($A16-D$14)/(1+$A16)^DCF!F43)-DCF!B38-DCF!B57</f>
        <v/>
      </c>
      <c r="E16" s="51">
        <f>(DCF!B29/(1+$A16)^DCF!B43+DCF!C29/(1+$A16)^DCF!C43+DCF!D29/(1+$A16)^DCF!D43+DCF!E29/(1+$A16)^DCF!E43+DCF!F29/(1+$A16)^DCF!F43+DCF!F29*(1+E$14)/($A16-E$14)/(1+$A16)^DCF!F43)-DCF!B38-DCF!B57</f>
        <v/>
      </c>
      <c r="F16" s="51">
        <f>(DCF!B29/(1+$A16)^DCF!B43+DCF!C29/(1+$A16)^DCF!C43+DCF!D29/(1+$A16)^DCF!D43+DCF!E29/(1+$A16)^DCF!E43+DCF!F29/(1+$A16)^DCF!F43+DCF!F29*(1+F$14)/($A16-F$14)/(1+$A16)^DCF!F43)-DCF!B38-DCF!B57</f>
        <v/>
      </c>
    </row>
    <row r="17" ht="17" customHeight="1" s="39">
      <c r="A17" s="66" t="n">
        <v>0.18</v>
      </c>
      <c r="B17" s="51">
        <f>(DCF!B29/(1+$A17)^DCF!B43+DCF!C29/(1+$A17)^DCF!C43+DCF!D29/(1+$A17)^DCF!D43+DCF!E29/(1+$A17)^DCF!E43+DCF!F29/(1+$A17)^DCF!F43+DCF!F29*(1+B$14)/($A17-B$14)/(1+$A17)^DCF!F43)-DCF!B38-DCF!B57</f>
        <v/>
      </c>
      <c r="C17" s="51">
        <f>(DCF!B29/(1+$A17)^DCF!B43+DCF!C29/(1+$A17)^DCF!C43+DCF!D29/(1+$A17)^DCF!D43+DCF!E29/(1+$A17)^DCF!E43+DCF!F29/(1+$A17)^DCF!F43+DCF!F29*(1+C$14)/($A17-C$14)/(1+$A17)^DCF!F43)-DCF!B38-DCF!B57</f>
        <v/>
      </c>
      <c r="D17" s="65">
        <f>(DCF!B29/(1+$A17)^DCF!B43+DCF!C29/(1+$A17)^DCF!C43+DCF!D29/(1+$A17)^DCF!D43+DCF!E29/(1+$A17)^DCF!E43+DCF!F29/(1+$A17)^DCF!F43+DCF!F29*(1+D$14)/($A17-D$14)/(1+$A17)^DCF!F43)-DCF!B38-DCF!B57</f>
        <v/>
      </c>
      <c r="E17" s="51">
        <f>(DCF!B29/(1+$A17)^DCF!B43+DCF!C29/(1+$A17)^DCF!C43+DCF!D29/(1+$A17)^DCF!D43+DCF!E29/(1+$A17)^DCF!E43+DCF!F29/(1+$A17)^DCF!F43+DCF!F29*(1+E$14)/($A17-E$14)/(1+$A17)^DCF!F43)-DCF!B38-DCF!B57</f>
        <v/>
      </c>
      <c r="F17" s="51">
        <f>(DCF!B29/(1+$A17)^DCF!B43+DCF!C29/(1+$A17)^DCF!C43+DCF!D29/(1+$A17)^DCF!D43+DCF!E29/(1+$A17)^DCF!E43+DCF!F29/(1+$A17)^DCF!F43+DCF!F29*(1+F$14)/($A17-F$14)/(1+$A17)^DCF!F43)-DCF!B38-DCF!B57</f>
        <v/>
      </c>
    </row>
    <row r="18" ht="17" customHeight="1" s="39">
      <c r="A18" s="66" t="n">
        <v>0.2</v>
      </c>
      <c r="B18" s="51">
        <f>(DCF!B29/(1+$A18)^DCF!B43+DCF!C29/(1+$A18)^DCF!C43+DCF!D29/(1+$A18)^DCF!D43+DCF!E29/(1+$A18)^DCF!E43+DCF!F29/(1+$A18)^DCF!F43+DCF!F29*(1+B$14)/($A18-B$14)/(1+$A18)^DCF!F43)-DCF!B38-DCF!B57</f>
        <v/>
      </c>
      <c r="C18" s="51">
        <f>(DCF!B29/(1+$A18)^DCF!B43+DCF!C29/(1+$A18)^DCF!C43+DCF!D29/(1+$A18)^DCF!D43+DCF!E29/(1+$A18)^DCF!E43+DCF!F29/(1+$A18)^DCF!F43+DCF!F29*(1+C$14)/($A18-C$14)/(1+$A18)^DCF!F43)-DCF!B38-DCF!B57</f>
        <v/>
      </c>
      <c r="D18" s="51">
        <f>(DCF!B29/(1+$A18)^DCF!B43+DCF!C29/(1+$A18)^DCF!C43+DCF!D29/(1+$A18)^DCF!D43+DCF!E29/(1+$A18)^DCF!E43+DCF!F29/(1+$A18)^DCF!F43+DCF!F29*(1+D$14)/($A18-D$14)/(1+$A18)^DCF!F43)-DCF!B38-DCF!B57</f>
        <v/>
      </c>
      <c r="E18" s="51">
        <f>(DCF!B29/(1+$A18)^DCF!B43+DCF!C29/(1+$A18)^DCF!C43+DCF!D29/(1+$A18)^DCF!D43+DCF!E29/(1+$A18)^DCF!E43+DCF!F29/(1+$A18)^DCF!F43+DCF!F29*(1+E$14)/($A18-E$14)/(1+$A18)^DCF!F43)-DCF!B38-DCF!B57</f>
        <v/>
      </c>
      <c r="F18" s="51">
        <f>(DCF!B29/(1+$A18)^DCF!B43+DCF!C29/(1+$A18)^DCF!C43+DCF!D29/(1+$A18)^DCF!D43+DCF!E29/(1+$A18)^DCF!E43+DCF!F29/(1+$A18)^DCF!F43+DCF!F29*(1+F$14)/($A18-F$14)/(1+$A18)^DCF!F43)-DCF!B38-DCF!B57</f>
        <v/>
      </c>
    </row>
    <row r="19" ht="17" customHeight="1" s="39">
      <c r="A19" s="66" t="n">
        <v>0.22</v>
      </c>
      <c r="B19" s="51">
        <f>(DCF!B29/(1+$A19)^DCF!B43+DCF!C29/(1+$A19)^DCF!C43+DCF!D29/(1+$A19)^DCF!D43+DCF!E29/(1+$A19)^DCF!E43+DCF!F29/(1+$A19)^DCF!F43+DCF!F29*(1+B$14)/($A19-B$14)/(1+$A19)^DCF!F43)-DCF!B38-DCF!B57</f>
        <v/>
      </c>
      <c r="C19" s="51">
        <f>(DCF!B29/(1+$A19)^DCF!B43+DCF!C29/(1+$A19)^DCF!C43+DCF!D29/(1+$A19)^DCF!D43+DCF!E29/(1+$A19)^DCF!E43+DCF!F29/(1+$A19)^DCF!F43+DCF!F29*(1+C$14)/($A19-C$14)/(1+$A19)^DCF!F43)-DCF!B38-DCF!B57</f>
        <v/>
      </c>
      <c r="D19" s="51">
        <f>(DCF!B29/(1+$A19)^DCF!B43+DCF!C29/(1+$A19)^DCF!C43+DCF!D29/(1+$A19)^DCF!D43+DCF!E29/(1+$A19)^DCF!E43+DCF!F29/(1+$A19)^DCF!F43+DCF!F29*(1+D$14)/($A19-D$14)/(1+$A19)^DCF!F43)-DCF!B38-DCF!B57</f>
        <v/>
      </c>
      <c r="E19" s="51">
        <f>(DCF!B29/(1+$A19)^DCF!B43+DCF!C29/(1+$A19)^DCF!C43+DCF!D29/(1+$A19)^DCF!D43+DCF!E29/(1+$A19)^DCF!E43+DCF!F29/(1+$A19)^DCF!F43+DCF!F29*(1+E$14)/($A19-E$14)/(1+$A19)^DCF!F43)-DCF!B38-DCF!B57</f>
        <v/>
      </c>
      <c r="F19" s="51">
        <f>(DCF!B29/(1+$A19)^DCF!B43+DCF!C29/(1+$A19)^DCF!C43+DCF!D29/(1+$A19)^DCF!D43+DCF!E29/(1+$A19)^DCF!E43+DCF!F29/(1+$A19)^DCF!F43+DCF!F29*(1+F$14)/($A19-F$14)/(1+$A19)^DCF!F43)-DCF!B38-DCF!B57</f>
        <v/>
      </c>
    </row>
    <row r="20"/>
    <row r="21">
      <c r="A21" s="38" t="inlineStr">
        <is>
          <t>中心(WACC 18%, g 3%)应≈DCF主表隐含投前估值(基准情景,选择器=2时)。</t>
        </is>
      </c>
    </row>
  </sheetData>
  <mergeCells count="5">
    <mergeCell ref="A13:G13"/>
    <mergeCell ref="A1:G1"/>
    <mergeCell ref="A3:G3"/>
    <mergeCell ref="A21:G21"/>
    <mergeCell ref="A11:G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10" defaultColWidth="8.83203125" defaultRowHeight="14"/>
  <cols>
    <col width="24" customWidth="1" style="39" min="1" max="1"/>
    <col width="15" customWidth="1" style="39" min="2" max="7"/>
  </cols>
  <sheetData>
    <row r="1">
      <c r="A1" s="40" t="inlineStr">
        <is>
          <t>融资与股权测算（天使轮及后续稀释路径）</t>
        </is>
      </c>
    </row>
    <row r="2">
      <c r="A2" s="38" t="inlineStr">
        <is>
          <t>基于BP融资计划测算本轮股比及天使投资人至IPO的稀释路径。各轮投前估值为分析师假设，单位：万元。</t>
        </is>
      </c>
    </row>
    <row r="3"/>
    <row r="4">
      <c r="A4" s="32" t="inlineStr">
        <is>
          <t>一、本轮（天使轮）股权结构</t>
        </is>
      </c>
      <c r="B4" s="33" t="n"/>
      <c r="C4" s="33" t="n"/>
      <c r="D4" s="33" t="n"/>
      <c r="E4" s="33" t="n"/>
      <c r="F4" s="33" t="n"/>
      <c r="G4" s="34" t="n"/>
    </row>
    <row r="5" ht="34" customHeight="1" s="39">
      <c r="A5" s="35" t="inlineStr">
        <is>
          <t>本轮投前估值（取主模型中枢）</t>
        </is>
      </c>
      <c r="B5" s="50">
        <f>摘要与结论!B15</f>
        <v/>
      </c>
    </row>
    <row r="6" ht="17" customHeight="1" s="39">
      <c r="A6" s="35" t="inlineStr">
        <is>
          <t>本轮投资额</t>
        </is>
      </c>
      <c r="B6" s="53" t="n">
        <v>4500</v>
      </c>
    </row>
    <row r="7" ht="17" customHeight="1" s="39">
      <c r="A7" s="41" t="inlineStr">
        <is>
          <t>本轮投后估值</t>
        </is>
      </c>
      <c r="B7" s="52">
        <f>B5+B6</f>
        <v/>
      </c>
    </row>
    <row r="8" ht="17" customHeight="1" s="39">
      <c r="A8" s="41" t="inlineStr">
        <is>
          <t>天使投资人本轮股比</t>
        </is>
      </c>
      <c r="B8" s="57">
        <f>B6/B7</f>
        <v/>
      </c>
    </row>
    <row r="9" ht="17" customHeight="1" s="39">
      <c r="A9" s="35" t="inlineStr">
        <is>
          <t>创始团队(含期权池)本轮后股比</t>
        </is>
      </c>
      <c r="B9" s="54">
        <f>1-B8</f>
        <v/>
      </c>
    </row>
    <row r="10"/>
    <row r="11">
      <c r="A11" s="32" t="inlineStr">
        <is>
          <t>二、后续融资轮次（BP计划）与稀释</t>
        </is>
      </c>
      <c r="B11" s="33" t="n"/>
      <c r="C11" s="33" t="n"/>
      <c r="D11" s="33" t="n"/>
      <c r="E11" s="33" t="n"/>
      <c r="F11" s="33" t="n"/>
      <c r="G11" s="34" t="n"/>
    </row>
    <row r="12" ht="17" customHeight="1" s="39">
      <c r="A12" s="43" t="inlineStr">
        <is>
          <t>轮次</t>
        </is>
      </c>
      <c r="B12" s="14" t="inlineStr">
        <is>
          <t>年份</t>
        </is>
      </c>
      <c r="C12" s="14" t="inlineStr">
        <is>
          <t>融资额</t>
        </is>
      </c>
      <c r="D12" s="14" t="inlineStr">
        <is>
          <t>投前估值</t>
        </is>
      </c>
      <c r="E12" s="14" t="inlineStr">
        <is>
          <t>投后估值</t>
        </is>
      </c>
      <c r="F12" s="14" t="inlineStr">
        <is>
          <t>新投资人股比</t>
        </is>
      </c>
      <c r="G12" s="14" t="inlineStr">
        <is>
          <t>天使累计股比</t>
        </is>
      </c>
    </row>
    <row r="13" ht="17" customHeight="1" s="39">
      <c r="A13" s="35" t="inlineStr">
        <is>
          <t>天使轮(本轮)</t>
        </is>
      </c>
      <c r="B13" s="12" t="n">
        <v>2026</v>
      </c>
      <c r="C13" s="51">
        <f>B6</f>
        <v/>
      </c>
      <c r="D13" s="51">
        <f>B5</f>
        <v/>
      </c>
      <c r="E13" s="51">
        <f>B7</f>
        <v/>
      </c>
      <c r="F13" s="54">
        <f>B8</f>
        <v/>
      </c>
      <c r="G13" s="57">
        <f>B8</f>
        <v/>
      </c>
    </row>
    <row r="14" ht="17" customHeight="1" s="39">
      <c r="A14" s="35" t="inlineStr">
        <is>
          <t>Pre-A</t>
        </is>
      </c>
      <c r="B14" s="12" t="n">
        <v>2028</v>
      </c>
      <c r="C14" s="53" t="n">
        <v>8000</v>
      </c>
      <c r="D14" s="53" t="n">
        <v>40000</v>
      </c>
      <c r="E14" s="51">
        <f>D14+C14</f>
        <v/>
      </c>
      <c r="F14" s="54">
        <f>C14/E14</f>
        <v/>
      </c>
      <c r="G14" s="57">
        <f>G13*(1-F14)</f>
        <v/>
      </c>
    </row>
    <row r="15" ht="17" customHeight="1" s="39">
      <c r="A15" s="35" t="inlineStr">
        <is>
          <t>A轮</t>
        </is>
      </c>
      <c r="B15" s="12" t="n">
        <v>2029</v>
      </c>
      <c r="C15" s="53" t="n">
        <v>12000</v>
      </c>
      <c r="D15" s="53" t="n">
        <v>90000</v>
      </c>
      <c r="E15" s="51">
        <f>D15+C15</f>
        <v/>
      </c>
      <c r="F15" s="54">
        <f>C15/E15</f>
        <v/>
      </c>
      <c r="G15" s="57">
        <f>G14*(1-F15)</f>
        <v/>
      </c>
    </row>
    <row r="16" ht="17" customHeight="1" s="39">
      <c r="A16" s="35" t="inlineStr">
        <is>
          <t>B轮</t>
        </is>
      </c>
      <c r="B16" s="12" t="n">
        <v>2030</v>
      </c>
      <c r="C16" s="53" t="n">
        <v>55000</v>
      </c>
      <c r="D16" s="53" t="n">
        <v>250000</v>
      </c>
      <c r="E16" s="51">
        <f>D16+C16</f>
        <v/>
      </c>
      <c r="F16" s="54">
        <f>C16/E16</f>
        <v/>
      </c>
      <c r="G16" s="57">
        <f>G15*(1-F16)</f>
        <v/>
      </c>
    </row>
    <row r="17" ht="24" customHeight="1" s="39">
      <c r="A17" s="41" t="inlineStr">
        <is>
          <t>IPO时天使累计稀释</t>
        </is>
      </c>
      <c r="B17" s="57">
        <f>1-G16/B8</f>
        <v/>
      </c>
      <c r="C17" s="44" t="inlineStr">
        <is>
          <t>(相对本轮股比的累计稀释)</t>
        </is>
      </c>
    </row>
    <row r="18"/>
    <row r="19">
      <c r="A19" s="32" t="inlineStr">
        <is>
          <t>三、天使投资人退出回报测算</t>
        </is>
      </c>
      <c r="B19" s="33" t="n"/>
      <c r="C19" s="33" t="n"/>
      <c r="D19" s="33" t="n"/>
      <c r="E19" s="33" t="n"/>
      <c r="F19" s="33" t="n"/>
      <c r="G19" s="34" t="n"/>
    </row>
    <row r="20" ht="17" customHeight="1" s="39">
      <c r="A20" s="35" t="inlineStr">
        <is>
          <t>退出年天使持股比例</t>
        </is>
      </c>
      <c r="B20" s="54">
        <f>G16</f>
        <v/>
      </c>
    </row>
    <row r="21" ht="34" customHeight="1" s="39">
      <c r="A21" s="35" t="inlineStr">
        <is>
          <t>退出股权价值(VC概率加权,万元)</t>
        </is>
      </c>
      <c r="B21" s="50">
        <f>'VC Method'!E22</f>
        <v/>
      </c>
    </row>
    <row r="22" ht="17" customHeight="1" s="39">
      <c r="A22" s="41" t="inlineStr">
        <is>
          <t>天使退出所得(万元)</t>
        </is>
      </c>
      <c r="B22" s="52">
        <f>B20*B21</f>
        <v/>
      </c>
    </row>
    <row r="23" ht="17" customHeight="1" s="39">
      <c r="A23" s="41" t="inlineStr">
        <is>
          <t>对本轮投资的回报倍数 MOIC</t>
        </is>
      </c>
      <c r="B23" s="60">
        <f>B22/B6</f>
        <v/>
      </c>
    </row>
    <row r="24" ht="17" customHeight="1" s="39">
      <c r="A24" s="35" t="inlineStr">
        <is>
          <t>对应年化IRR(约2031-2026)</t>
        </is>
      </c>
      <c r="B24" s="54">
        <f>(B23)^(1/5)-1</f>
        <v/>
      </c>
    </row>
    <row r="25"/>
    <row r="26">
      <c r="A26" s="38" t="inlineStr">
        <is>
          <t>注：未建模优先清算权、参与权、反稀释与期权池扩张的额外稀释；各轮投前估值为假设值,尽调需以实际条款与市场数据替换。</t>
        </is>
      </c>
    </row>
  </sheetData>
  <mergeCells count="6">
    <mergeCell ref="A1:G1"/>
    <mergeCell ref="A4:G4"/>
    <mergeCell ref="A26:G26"/>
    <mergeCell ref="A2:G2"/>
    <mergeCell ref="A19:G19"/>
    <mergeCell ref="A11:G11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selection activeCell="A1" sqref="A1"/>
    </sheetView>
  </sheetViews>
  <sheetFormatPr baseColWidth="10" defaultColWidth="8.83203125" defaultRowHeight="14"/>
  <cols>
    <col width="26" customWidth="1" style="39" min="1" max="1"/>
    <col width="30" customWidth="1" style="39" min="2" max="2"/>
    <col width="46" customWidth="1" style="39" min="3" max="3"/>
  </cols>
  <sheetData>
    <row r="1">
      <c r="A1" s="40" t="inlineStr">
        <is>
          <t>关键假设与资料来源</t>
        </is>
      </c>
    </row>
    <row r="2"/>
    <row r="3">
      <c r="A3" s="32" t="inlineStr">
        <is>
          <t>一、数据分级</t>
        </is>
      </c>
      <c r="B3" s="33" t="n"/>
      <c r="C3" s="34" t="n"/>
    </row>
    <row r="4" ht="17" customHeight="1" s="39">
      <c r="A4" s="43" t="inlineStr">
        <is>
          <t>类别</t>
        </is>
      </c>
      <c r="B4" s="43" t="inlineStr">
        <is>
          <t>内容</t>
        </is>
      </c>
      <c r="C4" s="43" t="inlineStr">
        <is>
          <t>说明</t>
        </is>
      </c>
    </row>
    <row r="5" ht="34" customHeight="1" s="39">
      <c r="A5" s="35" t="inlineStr">
        <is>
          <t>公司提供(BP)</t>
        </is>
      </c>
      <c r="B5" s="35" t="inlineStr">
        <is>
          <t>营收路径、融资计划、里程碑、技术验证数据</t>
        </is>
      </c>
      <c r="C5" s="35" t="inlineStr">
        <is>
          <t>BP 2026.6规划口径,未经审计</t>
        </is>
      </c>
    </row>
    <row r="6" ht="17" customHeight="1" s="39">
      <c r="A6" s="35" t="inlineStr">
        <is>
          <t>公开来源</t>
        </is>
      </c>
      <c r="B6" s="35" t="inlineStr">
        <is>
          <t>行业市场规模、CAGR、可比公司</t>
        </is>
      </c>
      <c r="C6" s="35" t="inlineStr">
        <is>
          <t>QYResearch/PW/YHResearch等(BP引用)</t>
        </is>
      </c>
    </row>
    <row r="7" ht="17" customHeight="1" s="39">
      <c r="A7" s="35" t="inlineStr">
        <is>
          <t>行业基准</t>
        </is>
      </c>
      <c r="B7" s="35" t="inlineStr">
        <is>
          <t>天使轮投前区间、MOIC、退出倍数</t>
        </is>
      </c>
      <c r="C7" s="35" t="inlineStr">
        <is>
          <t>industry-benchmarks.md</t>
        </is>
      </c>
    </row>
    <row r="8" ht="34" customHeight="1" s="39">
      <c r="A8" s="35" t="inlineStr">
        <is>
          <t>分析师判断</t>
        </is>
      </c>
      <c r="B8" s="35" t="inlineStr">
        <is>
          <t>情景概率、PS折价、稀释、WACC、利润率、CapEx</t>
        </is>
      </c>
      <c r="C8" s="35" t="inlineStr">
        <is>
          <t>本模型假设,需尽调替换</t>
        </is>
      </c>
    </row>
    <row r="9" ht="17" customHeight="1" s="39">
      <c r="A9" s="35" t="inlineStr">
        <is>
          <t>敏感性</t>
        </is>
      </c>
      <c r="B9" s="35" t="inlineStr">
        <is>
          <t>MOIC×PS、WACC×g 两张网格</t>
        </is>
      </c>
      <c r="C9" s="35" t="inlineStr">
        <is>
          <t>见敏感性分析表</t>
        </is>
      </c>
    </row>
    <row r="10"/>
    <row r="11">
      <c r="A11" s="32" t="inlineStr">
        <is>
          <t>二、核心假设汇总</t>
        </is>
      </c>
      <c r="B11" s="33" t="n"/>
      <c r="C11" s="34" t="n"/>
    </row>
    <row r="12" ht="17" customHeight="1" s="39">
      <c r="A12" s="35" t="inlineStr">
        <is>
          <t>本轮投资额</t>
        </is>
      </c>
      <c r="B12" s="31" t="inlineStr">
        <is>
          <t>4,500 万元</t>
        </is>
      </c>
      <c r="C12" s="35" t="inlineStr">
        <is>
          <t>BP一期投资</t>
        </is>
      </c>
    </row>
    <row r="13" ht="17" customHeight="1" s="39">
      <c r="A13" s="35" t="inlineStr">
        <is>
          <t>退出年份/持有期</t>
        </is>
      </c>
      <c r="B13" s="31" t="inlineStr">
        <is>
          <t>2031 / 约5年</t>
        </is>
      </c>
      <c r="C13" s="35" t="inlineStr">
        <is>
          <t>BP科创板申报</t>
        </is>
      </c>
    </row>
    <row r="14" ht="17" customHeight="1" s="39">
      <c r="A14" s="35" t="inlineStr">
        <is>
          <t>退出年营收(BP)</t>
        </is>
      </c>
      <c r="B14" s="31" t="inlineStr">
        <is>
          <t>100,000 万元(10亿)</t>
        </is>
      </c>
      <c r="C14" s="35" t="inlineStr">
        <is>
          <t>BP 2031预测</t>
        </is>
      </c>
    </row>
    <row r="15" ht="17" customHeight="1" s="39">
      <c r="A15" s="35" t="inlineStr">
        <is>
          <t>目标MOIC</t>
        </is>
      </c>
      <c r="B15" s="31" t="inlineStr">
        <is>
          <t>8x</t>
        </is>
      </c>
      <c r="C15" s="35" t="inlineStr">
        <is>
          <t>天使基准10x,硬科技+政策综合调整</t>
        </is>
      </c>
    </row>
    <row r="16" ht="17" customHeight="1" s="39">
      <c r="A16" s="35" t="inlineStr">
        <is>
          <t>可比PS倍数</t>
        </is>
      </c>
      <c r="B16" s="31" t="inlineStr">
        <is>
          <t>8x (EV/Rev)</t>
        </is>
      </c>
      <c r="C16" s="35" t="inlineStr">
        <is>
          <t>半导体硬科技3-10x中枢</t>
        </is>
      </c>
    </row>
    <row r="17" ht="17" customHeight="1" s="39">
      <c r="A17" s="35" t="inlineStr">
        <is>
          <t>早期近端PS倍数(可比估值)</t>
        </is>
      </c>
      <c r="B17" s="31" t="inlineStr">
        <is>
          <t>12x</t>
        </is>
      </c>
      <c r="C17" s="35" t="inlineStr">
        <is>
          <t>可比区间上沿,早期高成长溢价</t>
        </is>
      </c>
    </row>
    <row r="18" ht="17" customHeight="1" s="39">
      <c r="A18" s="35" t="inlineStr">
        <is>
          <t>可比估值·近端营收</t>
        </is>
      </c>
      <c r="B18" s="31" t="inlineStr">
        <is>
          <t>3,000 万元(2028E)</t>
        </is>
      </c>
      <c r="C18" s="35" t="inlineStr">
        <is>
          <t>BP预测</t>
        </is>
      </c>
    </row>
    <row r="19" ht="17" customHeight="1" s="39">
      <c r="A19" s="35" t="inlineStr">
        <is>
          <t>退出PS折价(基准)</t>
        </is>
      </c>
      <c r="B19" s="31" t="inlineStr">
        <is>
          <t>60%</t>
        </is>
      </c>
      <c r="C19" s="35" t="inlineStr">
        <is>
          <t>天使轮退出流动性折价</t>
        </is>
      </c>
    </row>
    <row r="20" ht="17" customHeight="1" s="39">
      <c r="A20" s="35" t="inlineStr">
        <is>
          <t>至IPO累计稀释(基准)</t>
        </is>
      </c>
      <c r="B20" s="31" t="inlineStr">
        <is>
          <t>55%</t>
        </is>
      </c>
      <c r="C20" s="35" t="inlineStr">
        <is>
          <t>多轮融资摊薄</t>
        </is>
      </c>
    </row>
    <row r="21" ht="17" customHeight="1" s="39">
      <c r="A21" s="35" t="inlineStr">
        <is>
          <t>情景概率</t>
        </is>
      </c>
      <c r="B21" s="31" t="inlineStr">
        <is>
          <t>乐观20%/基准55%/悲观25%</t>
        </is>
      </c>
      <c r="C21" s="35" t="inlineStr">
        <is>
          <t>分析师判断</t>
        </is>
      </c>
    </row>
    <row r="22" ht="17" customHeight="1" s="39">
      <c r="A22" s="35" t="inlineStr">
        <is>
          <t>WACC(基准)</t>
        </is>
      </c>
      <c r="B22" s="31" t="inlineStr">
        <is>
          <t>18%</t>
        </is>
      </c>
      <c r="C22" s="35" t="inlineStr">
        <is>
          <t>一级市场含创业失败风险</t>
        </is>
      </c>
    </row>
    <row r="23" ht="17" customHeight="1" s="39">
      <c r="A23" s="35" t="inlineStr">
        <is>
          <t>永续增长率(基准)</t>
        </is>
      </c>
      <c r="B23" s="31" t="inlineStr">
        <is>
          <t>3%</t>
        </is>
      </c>
      <c r="C23" s="35" t="inlineStr">
        <is>
          <t>新兴行业GDP+</t>
        </is>
      </c>
    </row>
    <row r="24" ht="34" customHeight="1" s="39">
      <c r="A24" s="35" t="inlineStr">
        <is>
          <t>方法权重</t>
        </is>
      </c>
      <c r="B24" s="31" t="inlineStr">
        <is>
          <t>VC40/Scorecard30/Berkus20/Comps10</t>
        </is>
      </c>
      <c r="C24" s="35" t="inlineStr">
        <is>
          <t>天使轮加权规则</t>
        </is>
      </c>
    </row>
    <row r="25"/>
    <row r="26">
      <c r="A26" s="32" t="inlineStr">
        <is>
          <t>三、资料来源</t>
        </is>
      </c>
      <c r="B26" s="33" t="n"/>
      <c r="C26" s="34" t="n"/>
    </row>
    <row r="27">
      <c r="A27" s="35" t="inlineStr">
        <is>
          <t>《臻陶科技-泛半导体陶瓷材料及部件》项目BP,2026年6月规划口径</t>
        </is>
      </c>
      <c r="B27" s="36" t="n"/>
      <c r="C27" s="37" t="n"/>
    </row>
    <row r="28">
      <c r="A28" s="35" t="inlineStr">
        <is>
          <t>李明远教授团队实验数据与研究资料(BP引用)</t>
        </is>
      </c>
      <c r="B28" s="36" t="n"/>
      <c r="C28" s="37" t="n"/>
    </row>
    <row r="29">
      <c r="A29" s="35" t="inlineStr">
        <is>
          <t>QYResearch / PW Consulting / YHResearch / GGI / 弗若斯特沙利文(BP引用)</t>
        </is>
      </c>
      <c r="B29" s="36" t="n"/>
      <c r="C29" s="37" t="n"/>
    </row>
    <row r="30">
      <c r="A30" s="35" t="inlineStr">
        <is>
          <t>观研报告网、东方财富、TrendForce、券商研报(BP引用)</t>
        </is>
      </c>
      <c r="B30" s="36" t="n"/>
      <c r="C30" s="37" t="n"/>
    </row>
    <row r="31">
      <c r="A31" s="35" t="inlineStr">
        <is>
          <t>primary-market-valuation 技能:vc-methodology-reference.md、industry-benchmarks.md</t>
        </is>
      </c>
      <c r="B31" s="36" t="n"/>
      <c r="C31" s="37" t="n"/>
    </row>
    <row r="32"/>
    <row r="33">
      <c r="A33" s="44" t="inlineStr">
        <is>
          <t>免责声明：本模型为基于BP的分析性估值,用于项目研究与融资谈判准备,不构成审计、正式评估或投资建议,不对预测或交易结果作保证。</t>
        </is>
      </c>
      <c r="B33" s="45" t="n"/>
      <c r="C33" s="46" t="n"/>
    </row>
    <row r="34">
      <c r="A34" s="47" t="n"/>
      <c r="B34" s="48" t="n"/>
      <c r="C34" s="49" t="n"/>
    </row>
  </sheetData>
  <mergeCells count="10">
    <mergeCell ref="A28:C28"/>
    <mergeCell ref="A11:C11"/>
    <mergeCell ref="A1:C1"/>
    <mergeCell ref="A31:C31"/>
    <mergeCell ref="A27:C27"/>
    <mergeCell ref="A3:C3"/>
    <mergeCell ref="A30:C30"/>
    <mergeCell ref="A33:C34"/>
    <mergeCell ref="A26:C26"/>
    <mergeCell ref="A29:C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2026-08-31T02:03:45Z</dcterms:created>
  <dcterms:modified xmlns:dcterms="http://purl.org/dc/terms/" xmlns:xsi="http://www.w3.org/2001/XMLSchema-instance" xsi:type="dcterms:W3CDTF">2026-09-03T01:25:29Z</dcterms:modified>
  <cp:lastModifiedBy>l z</cp:lastModifiedBy>
</cp:coreProperties>
</file>